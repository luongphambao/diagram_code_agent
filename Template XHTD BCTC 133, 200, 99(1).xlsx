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hai.nn02\OneDrive - eximbank.com.vn\Test\"/>
    </mc:Choice>
  </mc:AlternateContent>
  <xr:revisionPtr revIDLastSave="0" documentId="11_592822D2F901A9189BE7D62A0D54A4875B0F8D4F" xr6:coauthVersionLast="47" xr6:coauthVersionMax="47" xr10:uidLastSave="{00000000-0000-0000-0000-000000000000}"/>
  <bookViews>
    <workbookView xWindow="-105" yWindow="-105" windowWidth="23250" windowHeight="12570" tabRatio="918" activeTab="1" xr2:uid="{00000000-000D-0000-FFFF-FFFF00000000}"/>
  </bookViews>
  <sheets>
    <sheet name="CDKT 133" sheetId="10" r:id="rId1"/>
    <sheet name="KQKD 133" sheetId="11" r:id="rId2"/>
    <sheet name="LCTTgiantiep 133" sheetId="13" r:id="rId3"/>
    <sheet name="LCTTtructiep 133" sheetId="12" r:id="rId4"/>
    <sheet name="CDKT 200" sheetId="4" r:id="rId5"/>
    <sheet name="KQKD 200" sheetId="3" r:id="rId6"/>
    <sheet name="LCTTgiantiep 200" sheetId="7" r:id="rId7"/>
    <sheet name="LCTTtructiep 200" sheetId="8" r:id="rId8"/>
    <sheet name="CDKT 99" sheetId="14" r:id="rId9"/>
    <sheet name="KQKD 99" sheetId="15" r:id="rId10"/>
    <sheet name="LCTTgiantiep 99" sheetId="16" r:id="rId11"/>
    <sheet name="LCTTtructiep 99" sheetId="1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5" l="1"/>
  <c r="F12" i="15"/>
  <c r="F11" i="15"/>
  <c r="F8" i="15"/>
  <c r="F6" i="15"/>
  <c r="F4" i="15"/>
  <c r="G17" i="15"/>
  <c r="H17" i="15"/>
  <c r="F17" i="15" l="1"/>
  <c r="F14" i="11"/>
  <c r="F12" i="11"/>
  <c r="F11" i="11"/>
  <c r="F8" i="11"/>
  <c r="F6" i="11"/>
  <c r="F4" i="11"/>
  <c r="H17" i="11"/>
  <c r="G17" i="11"/>
  <c r="F17" i="11" l="1"/>
</calcChain>
</file>

<file path=xl/sharedStrings.xml><?xml version="1.0" encoding="utf-8"?>
<sst xmlns="http://schemas.openxmlformats.org/spreadsheetml/2006/main" count="1653" uniqueCount="1233">
  <si>
    <t>Mã chỉ tiêu</t>
  </si>
  <si>
    <t>Mã số</t>
  </si>
  <si>
    <t>Số cuối năm/Năm nay</t>
  </si>
  <si>
    <t>Số đầu năm/Năm trước</t>
  </si>
  <si>
    <t>CHỈ TIÊU</t>
  </si>
  <si>
    <t>133CDKT100</t>
  </si>
  <si>
    <t>A - TÀI SẢN NGẮN HẠN</t>
  </si>
  <si>
    <t>Mã số 100 = Mã số 110 + Mã số 120 + Mã số 130 + Mã số 140 + Mã số 150</t>
  </si>
  <si>
    <t>133CDKT110</t>
  </si>
  <si>
    <t>Tiền và các khoản tương đương tiền</t>
  </si>
  <si>
    <t>133CDKT120</t>
  </si>
  <si>
    <t>Đầu tư tài chính ngắn hạn</t>
  </si>
  <si>
    <t>Mã số 120 = Mã số 121 + Mã số 122 + Mã số 123 + Mã số 124</t>
  </si>
  <si>
    <t>133CDKT121</t>
  </si>
  <si>
    <t>Chứng khoán kinh doanh</t>
  </si>
  <si>
    <t>133CDKT122</t>
  </si>
  <si>
    <t>Dự phòng giảm giá chứng khoán kinh doanh (*)</t>
  </si>
  <si>
    <t>133CDKT123</t>
  </si>
  <si>
    <t>Đầu tư nắm giữ đến ngày đáo hạn ngắn hạn</t>
  </si>
  <si>
    <t>133CDKT130</t>
  </si>
  <si>
    <t>Các khoản phải thu ngắn hạn</t>
  </si>
  <si>
    <t>Mã số 130 = Mã số 131 + Mã số 132 + Mã số 133 + Mã số 134 + Mã số 135</t>
  </si>
  <si>
    <t>133CDKT131</t>
  </si>
  <si>
    <t>Phải thu ngắn hạn của khách hàng</t>
  </si>
  <si>
    <t>133CDKT132</t>
  </si>
  <si>
    <t>Trả trước cho người bán ngắn hạn</t>
  </si>
  <si>
    <t>133CDKT133</t>
  </si>
  <si>
    <t>Phải thu ngắn hạn khác</t>
  </si>
  <si>
    <t>133CDKT134</t>
  </si>
  <si>
    <t>Tài sản thiếu chờ xử lý</t>
  </si>
  <si>
    <t>133CDKT135</t>
  </si>
  <si>
    <t>Dự phòng phải thu ngắn hạn khó đòi (*)</t>
  </si>
  <si>
    <t>133CDKT140</t>
  </si>
  <si>
    <t>Hàng tồn kho</t>
  </si>
  <si>
    <t>Mã số 140 = Mã số 141 + Mã số 142</t>
  </si>
  <si>
    <t>133CDKT141</t>
  </si>
  <si>
    <t>133CDKT142</t>
  </si>
  <si>
    <t>Dự phòng giảm giá hàng tồn kho (*)</t>
  </si>
  <si>
    <t>133CDKT150</t>
  </si>
  <si>
    <t>Tài sản ngắn hạn khác</t>
  </si>
  <si>
    <t>Mã số 150 = Mã số 151 + Mã số 152</t>
  </si>
  <si>
    <t>133CDKT151</t>
  </si>
  <si>
    <t>Thuế GTGT được khấu trừ</t>
  </si>
  <si>
    <t>133CDKT152</t>
  </si>
  <si>
    <t>133CDKT200</t>
  </si>
  <si>
    <t>B - TÀI SẢN DÀI HẠN</t>
  </si>
  <si>
    <t>Mã số 200 = Mã số 210 + Mã số 220 + Mã số 230 + Mã số 240 + Mã số 250 + Mã số 260</t>
  </si>
  <si>
    <t>133CDKT210</t>
  </si>
  <si>
    <t>Các khoản phải thu dài hạn</t>
  </si>
  <si>
    <t>Mã số 210 = Mã số 211 + Mã số 212 + Mã số 213 + Mã số 214 + Mã số 215</t>
  </si>
  <si>
    <t>133CDKT211</t>
  </si>
  <si>
    <t>Phải thu dài hạn của khách hàng</t>
  </si>
  <si>
    <t>133CDKT212</t>
  </si>
  <si>
    <t>Trả trước cho người bán dài hạn</t>
  </si>
  <si>
    <t>133CDKT213</t>
  </si>
  <si>
    <t>Vốn kinh doanh ở đơn vị trực thuộc</t>
  </si>
  <si>
    <t>133CDKT214</t>
  </si>
  <si>
    <t>Phải thu dài hạn khác</t>
  </si>
  <si>
    <t>133CDKT215</t>
  </si>
  <si>
    <t>Dự phòng phải thu dài hạn khó đòi (*)</t>
  </si>
  <si>
    <t>133CDKT220</t>
  </si>
  <si>
    <t>Tài sản cố định</t>
  </si>
  <si>
    <t>Mã số 220 = Mã số 221 + Mã số 222.</t>
  </si>
  <si>
    <t>133CDKT221</t>
  </si>
  <si>
    <t>Nguyên giá</t>
  </si>
  <si>
    <t>133CDKT222</t>
  </si>
  <si>
    <t>Giá trị hao mòn lũy kế (*)</t>
  </si>
  <si>
    <t>133CDKT230</t>
  </si>
  <si>
    <t>Bất động sản đầu tư</t>
  </si>
  <si>
    <t>Mã số 230 = Mã số 231 + Mã số 232.</t>
  </si>
  <si>
    <t>133CDKT231</t>
  </si>
  <si>
    <t>133CDKT232</t>
  </si>
  <si>
    <t>133CDKT240</t>
  </si>
  <si>
    <t>Xây dựng cơ bản dở dang</t>
  </si>
  <si>
    <t>133CDKT250</t>
  </si>
  <si>
    <t>Đầu tư tài chính dài hạn</t>
  </si>
  <si>
    <t>Mã số 250 = Mã số 251 + Mã số 252 + Mã số 253.</t>
  </si>
  <si>
    <t>133CDKT251</t>
  </si>
  <si>
    <t>Đầu tư góp vốn vào đơn vị khác</t>
  </si>
  <si>
    <t>133CDKT252</t>
  </si>
  <si>
    <t>Dự phòng tổn thất đầu tư vào đơn vị khác (*)</t>
  </si>
  <si>
    <t>133CDKT253</t>
  </si>
  <si>
    <t>Đầu tư nắm giữ đến ngày đáo hạn dài hạn</t>
  </si>
  <si>
    <t>133CDKT260</t>
  </si>
  <si>
    <t>Tài sản dài hạn khác</t>
  </si>
  <si>
    <t>133CDKT300</t>
  </si>
  <si>
    <t>TỔNG CỘNG TÀI SẢN</t>
  </si>
  <si>
    <t>Mã số 300 = Mã số 100 + Mã số 200.</t>
  </si>
  <si>
    <t>133CDKT400</t>
  </si>
  <si>
    <t>NỢ PHẢI TRẢ</t>
  </si>
  <si>
    <t>Mã số 400 = Mã số 410 + Mã số 420.</t>
  </si>
  <si>
    <t>133CDKT410</t>
  </si>
  <si>
    <t>Nợ ngắn hạn</t>
  </si>
  <si>
    <t>Mã số 410 = Mã số 411 + Mã số 412 + Mã số 413 + Mã số 414 + Mã số 415 + Mã số 416 + Mã số 417 + Mã số 418.</t>
  </si>
  <si>
    <t>133CDKT411</t>
  </si>
  <si>
    <t>Phải trả người bán ngắn hạn</t>
  </si>
  <si>
    <t>133CDKT412</t>
  </si>
  <si>
    <t>Người mua trả tiền trước ngắn hạn</t>
  </si>
  <si>
    <t>133CDKT413</t>
  </si>
  <si>
    <t>Thuế và các khoản phải nộp Nhà nước</t>
  </si>
  <si>
    <t>133CDKT414</t>
  </si>
  <si>
    <t>Phải trả người lao động</t>
  </si>
  <si>
    <t>133CDKT415</t>
  </si>
  <si>
    <t>Phải trả ngắn hạn khác</t>
  </si>
  <si>
    <t>133CDKT416</t>
  </si>
  <si>
    <t>Vay và nợ thuê tài chính ngắn hạn</t>
  </si>
  <si>
    <t>133CDKT417</t>
  </si>
  <si>
    <t>Dự phòng phải trả ngắn hạn</t>
  </si>
  <si>
    <t>133CDKT418</t>
  </si>
  <si>
    <t>Quỹ khen thưởng, phúc lợi</t>
  </si>
  <si>
    <t>133CDKT420</t>
  </si>
  <si>
    <t>Nợ dài hạn</t>
  </si>
  <si>
    <t>Mã số 420 = Mã số 421 + Mã số 422 + Mã số 423 + Mã số 424 + Mã số 425 + Mã số 426 + Mã số 427.</t>
  </si>
  <si>
    <t>133CDKT421</t>
  </si>
  <si>
    <t>Phải trả người bán dài hạn</t>
  </si>
  <si>
    <t>133CDKT422</t>
  </si>
  <si>
    <t>Người mua trả tiền trước dài hạn</t>
  </si>
  <si>
    <t>133CDKT423</t>
  </si>
  <si>
    <t>Phải trả nội bộ về vốn kinh doanh</t>
  </si>
  <si>
    <t>133CDKT424</t>
  </si>
  <si>
    <t>Phải trả dài hạn khác</t>
  </si>
  <si>
    <t>133CDKT425</t>
  </si>
  <si>
    <t>Vay và nợ thuê tài chính dài hạn</t>
  </si>
  <si>
    <t>133CDKT426</t>
  </si>
  <si>
    <t>Dự phòng phải trả dài hạn</t>
  </si>
  <si>
    <t>133CDKT427</t>
  </si>
  <si>
    <t>Quỹ phát triển khoa học và công nghệ</t>
  </si>
  <si>
    <t>133CDKT500</t>
  </si>
  <si>
    <t>VỐN CHỦ SỞ HỮU</t>
  </si>
  <si>
    <t>Mã số 500 = Mã số 511 + Mã số 512 + Mã số 513 + Mã số 514 + Mã số 515 + Mã số 516 + Mã số 517</t>
  </si>
  <si>
    <t>133CDKT511</t>
  </si>
  <si>
    <t>Vốn góp của chủ sở hữu</t>
  </si>
  <si>
    <t>133CDKT512</t>
  </si>
  <si>
    <t>Thặng dư vốn cổ phần</t>
  </si>
  <si>
    <t>133CDKT513</t>
  </si>
  <si>
    <t>Vốn khác của chủ sở hữu</t>
  </si>
  <si>
    <t>133CDKT514</t>
  </si>
  <si>
    <t>Cổ phiếu quỹ (*)</t>
  </si>
  <si>
    <t>133CDKT515</t>
  </si>
  <si>
    <t>Chênh lệch tỷ giá hối đoái</t>
  </si>
  <si>
    <t>133CDKT516</t>
  </si>
  <si>
    <t>Các quỹ thuộc vốn chủ sở hữu</t>
  </si>
  <si>
    <t>133CDKT517</t>
  </si>
  <si>
    <t>Lợi nhuận sau thuế chưa phân phối</t>
  </si>
  <si>
    <t>133CDKT600</t>
  </si>
  <si>
    <t>TỔNG CỘNG NGUỒN VỐN</t>
  </si>
  <si>
    <t>Mã số 600 = Mã số 400 + Mã số 500.</t>
  </si>
  <si>
    <t>chưa cân đối. Xem số chênh lệch bên dưới.</t>
  </si>
  <si>
    <t>133KQKD01</t>
  </si>
  <si>
    <t>01</t>
  </si>
  <si>
    <t>1. Doanh thu bán hàng và cung cấp dịch vụ</t>
  </si>
  <si>
    <t>Doanh thu bán hàng và cung cấp dịch vụ</t>
  </si>
  <si>
    <t>133KQKD02</t>
  </si>
  <si>
    <t>02</t>
  </si>
  <si>
    <t>2. Các khoản giảm trừ doanh thu</t>
  </si>
  <si>
    <t>Các khoản giảm trừ doanh thu</t>
  </si>
  <si>
    <t>133KQKD10</t>
  </si>
  <si>
    <t>3. Doanh thu thuần về bán hàng và cung cấp dịch vụ (10 = 01-02)</t>
  </si>
  <si>
    <t>Doanh thu thuần về bán hàng và cung cấp dịch vụ</t>
  </si>
  <si>
    <t>133KQKD11</t>
  </si>
  <si>
    <t>4. Giá vốn hàng bán</t>
  </si>
  <si>
    <t>Giá vốn hàng bán</t>
  </si>
  <si>
    <t>133KQKD20</t>
  </si>
  <si>
    <t>5. Lợi nhuận gộp về bán hàng và cung cấp dịch vụ (20=10-11)</t>
  </si>
  <si>
    <t>Lợi nhuận gộp về bán hàng và cung cấp dịch vụ</t>
  </si>
  <si>
    <t>133KQKD21</t>
  </si>
  <si>
    <t>6. Doanh thu hoạt động tài chính</t>
  </si>
  <si>
    <t>Doanh thu hoạt động tài chính</t>
  </si>
  <si>
    <t>133KQKD22</t>
  </si>
  <si>
    <t>7. Chi phí tài chính</t>
  </si>
  <si>
    <t>Lợi nhuận thuần từ hoạt động kinh doanh</t>
  </si>
  <si>
    <t>Chi phí tài chính</t>
  </si>
  <si>
    <t>133KQKD23</t>
  </si>
  <si>
    <t>- Trong đó: Chi phí lãi vay</t>
  </si>
  <si>
    <t>133KQKD24</t>
  </si>
  <si>
    <t>8. Chi phí quản lý kinh doanh</t>
  </si>
  <si>
    <t>Chi phí quản lý kinh doanh</t>
  </si>
  <si>
    <t>133KQKD30</t>
  </si>
  <si>
    <t>9. Lợi nhuận thuần từ hoạt động kinh doanh (30 = 20 + 21 - 22 - 24)</t>
  </si>
  <si>
    <t>Lợi nhuận khác</t>
  </si>
  <si>
    <t>133KQKD31</t>
  </si>
  <si>
    <t>10. Thu nhập khác</t>
  </si>
  <si>
    <t>Tổng lợi nhuận kế toán trước thuế</t>
  </si>
  <si>
    <t>Thu nhập khác</t>
  </si>
  <si>
    <t>133KQKD32</t>
  </si>
  <si>
    <t>11. Chi phí khác</t>
  </si>
  <si>
    <t>Chi phí khác</t>
  </si>
  <si>
    <t>133KQKD40</t>
  </si>
  <si>
    <t>12. Lợi nhuận khác (40 = 31 - 32)</t>
  </si>
  <si>
    <t>Lợi nhuận sau thuế thu nhập doanh nghiệp</t>
  </si>
  <si>
    <t>133KQKD50</t>
  </si>
  <si>
    <t>13. Tổng lợi nhuận kế toán trước thuế (50 = 30 + 40)</t>
  </si>
  <si>
    <t>Giá trị đầu kỳ trùng cuối kỳ</t>
  </si>
  <si>
    <t>133KQKD51</t>
  </si>
  <si>
    <t>14. Chi phí thuế TNDN</t>
  </si>
  <si>
    <t>Giá trị đầu năm phải khác cuối năm</t>
  </si>
  <si>
    <t>Chi phí thuế TNDN</t>
  </si>
  <si>
    <t>133KQKD60</t>
  </si>
  <si>
    <t>15. Lợi nhuận sau thuế thu nhập doanh nghiệp (60=50 - 51)</t>
  </si>
  <si>
    <t>DOANH NGHIỆP NHỎ VÀ VỪA</t>
  </si>
  <si>
    <t>133LCTTGTI</t>
  </si>
  <si>
    <t>I</t>
  </si>
  <si>
    <t>I. Lưu chuyển tiền từ hoạt động kinh doanh</t>
  </si>
  <si>
    <t>133LCTTGT01</t>
  </si>
  <si>
    <t>1. Lợi nhuận trước thuế</t>
  </si>
  <si>
    <t>133LCTTGT02</t>
  </si>
  <si>
    <t>2. Điều chỉnh cho các khoản (02=03+04+05+06+07+08)</t>
  </si>
  <si>
    <t>133LCTTGT03</t>
  </si>
  <si>
    <t>03</t>
  </si>
  <si>
    <t>- Khấu hao TSCĐ và BĐSĐT</t>
  </si>
  <si>
    <t>133LCTTGT04</t>
  </si>
  <si>
    <t>04</t>
  </si>
  <si>
    <t>- Các khoản dự phòng</t>
  </si>
  <si>
    <t>133LCTTGT05</t>
  </si>
  <si>
    <t>05</t>
  </si>
  <si>
    <t>- Lãi, lỗ chênh lệch tỷ giá hối đoái do đánh giá lại các khoản mục tiền tệ có gốc ngoại tệ</t>
  </si>
  <si>
    <t>133LCTTGT06</t>
  </si>
  <si>
    <t>06</t>
  </si>
  <si>
    <t>- Lãi, lỗ từ hoạt động đầu tư</t>
  </si>
  <si>
    <t>133LCTTGT07</t>
  </si>
  <si>
    <t>07</t>
  </si>
  <si>
    <t>- Chi phí lãi vay</t>
  </si>
  <si>
    <t>133LCTTGT08</t>
  </si>
  <si>
    <t>08</t>
  </si>
  <si>
    <t>- Các khoản điều chỉnh khác</t>
  </si>
  <si>
    <t>133LCTTGT09</t>
  </si>
  <si>
    <t>09</t>
  </si>
  <si>
    <t>3. Lợi nhuận từ hoạt động kinh doanh trước thay đổi vốn lưu động (09=10+11+12+13+14+15+16+17+18)</t>
  </si>
  <si>
    <t>133LCTTGT10</t>
  </si>
  <si>
    <t>- Tăng, giảm các khoản phải thu</t>
  </si>
  <si>
    <t>133LCTTGT11</t>
  </si>
  <si>
    <t>- Tăng, giảm hàng tồn kho</t>
  </si>
  <si>
    <t>133LCTTGT12</t>
  </si>
  <si>
    <t>- Tăng, giảm các khoản phải trả (Không kể lãi vay phải trả, thuế thu nhập doanh nghiệp phải nộp)</t>
  </si>
  <si>
    <t>133LCTTGT13</t>
  </si>
  <si>
    <t>- Tăng, giảm chi phí trả trước</t>
  </si>
  <si>
    <t>133LCTTGT14</t>
  </si>
  <si>
    <t>- Tăng, giảm chứng khoán kinh doanh</t>
  </si>
  <si>
    <t>133LCTTGT15</t>
  </si>
  <si>
    <t>- Tiền lãi vay đã trả</t>
  </si>
  <si>
    <t>133LCTTGT16</t>
  </si>
  <si>
    <t>- Thuế thu nhập doanh nghiệp đã nộp</t>
  </si>
  <si>
    <t>133LCTTGT17</t>
  </si>
  <si>
    <t>- Tiền thu khác từ hoạt động kinh doanh</t>
  </si>
  <si>
    <t>133LCTTGT18</t>
  </si>
  <si>
    <t>- Tiền chi khác cho hoạt động kinh doanh</t>
  </si>
  <si>
    <t>133LCTTGT20</t>
  </si>
  <si>
    <t>Lưu chuyển tiền thuần từ hoạt động kinh doanh (20=01+02+09)</t>
  </si>
  <si>
    <t>133LCTTGTII</t>
  </si>
  <si>
    <t>II</t>
  </si>
  <si>
    <t>II. Lưu chuyển tiền từ hoạt động đầu tư</t>
  </si>
  <si>
    <t>133LCTTGT21</t>
  </si>
  <si>
    <t>1. Tiền chi để mua sắm, xây dựng TSCĐ, BĐSĐT và các tài sản dài hạn khác</t>
  </si>
  <si>
    <t>133LCTTGT22</t>
  </si>
  <si>
    <t>2. Tiền thu từ thanh lý, nhượng bán TSCĐ, BĐSĐT và các tài sản dài hạn khác</t>
  </si>
  <si>
    <t>133LCTTGT23</t>
  </si>
  <si>
    <t>3. Tiền chi cho vay, đầu tư góp vốn vào đơn vị khác</t>
  </si>
  <si>
    <t>133LCTTGT24</t>
  </si>
  <si>
    <t>4. Tiền thu hồi cho vay, đầu tư góp vốn vào đơn vị khác</t>
  </si>
  <si>
    <t>133LCTTGT25</t>
  </si>
  <si>
    <t>5.Tiền thu lãi cho vay, cổ tức và lợi nhuận được chia</t>
  </si>
  <si>
    <t>133LCTTGT30</t>
  </si>
  <si>
    <t>Lưu chuyển tiền thuần từ hoạt động đầu tư (30=21+22+23+24+25)</t>
  </si>
  <si>
    <t>133LCTTGTIII</t>
  </si>
  <si>
    <t>III</t>
  </si>
  <si>
    <t>III. Lưu chuyển tiền từ hoạt động tài chính</t>
  </si>
  <si>
    <t>133LCTTGT31</t>
  </si>
  <si>
    <t>1. Tiền thu từ phát hành cổ phiếu, nhận vốn góp của chủ sở hữu</t>
  </si>
  <si>
    <t>133LCTTGT32</t>
  </si>
  <si>
    <t>2. Tiền trả lại vốn góp cho các chủ sở hữu, mua lại cổ phiếu của doanh nghiệp đã phát hành</t>
  </si>
  <si>
    <t>133LCTTGT33</t>
  </si>
  <si>
    <t>3. Tiền thu từ đi vay</t>
  </si>
  <si>
    <t>133LCTTGT34</t>
  </si>
  <si>
    <t>4. Tiền trả nợ gốc vay và nợ gốc thuê tài chính</t>
  </si>
  <si>
    <t>133LCTTGT35</t>
  </si>
  <si>
    <t>5. Cổ tức, lợi nhuận đã trả cho chủ sở hữu</t>
  </si>
  <si>
    <t>133LCTTGT60</t>
  </si>
  <si>
    <t>Tiền và tương đương tiền đầu kỳ</t>
  </si>
  <si>
    <t>133LCTTGT61</t>
  </si>
  <si>
    <t>Ảnh hưởng của thay đổi tỷ giá hối đoái quy đổi ngoại tệ</t>
  </si>
  <si>
    <t>133LCTTGT70</t>
  </si>
  <si>
    <t>Tiền và tương đương tiền cuối kỳ (70 = 50+60+61)</t>
  </si>
  <si>
    <t>133LCTTTTI</t>
  </si>
  <si>
    <t>133LCTTTT01</t>
  </si>
  <si>
    <t>1. Tiền thu từ bán hàng, cung cấp dịch vụ và doanh thu khác</t>
  </si>
  <si>
    <t>133LCTTTT02</t>
  </si>
  <si>
    <t>2. Tiền chi trả cho người cung cấp hàng hóa, dịch vụ</t>
  </si>
  <si>
    <t>133LCTTTT03</t>
  </si>
  <si>
    <t>3. Tiền chi trả cho người lao động</t>
  </si>
  <si>
    <t>133LCTTTT04</t>
  </si>
  <si>
    <t>4. Tiền lãi vay đã trả</t>
  </si>
  <si>
    <t>133LCTTTT05</t>
  </si>
  <si>
    <t>5. Thuế thu nhập doanh nghiệp đã nộp</t>
  </si>
  <si>
    <t>133LCTTTT06</t>
  </si>
  <si>
    <t>6. Tiền thu khác từ hoạt động kinh doanh</t>
  </si>
  <si>
    <t>133LCTTTT07</t>
  </si>
  <si>
    <t>7. Tiền chi khác cho hoạt động kinh doanh</t>
  </si>
  <si>
    <t>133LCTTTT20</t>
  </si>
  <si>
    <t>Lưu chuyển tiền thuần từ hoạt động kinh doanh (20=01+02+03+04+05+06+07)</t>
  </si>
  <si>
    <t>133LCTTTTII</t>
  </si>
  <si>
    <t>133LCTTTT21</t>
  </si>
  <si>
    <t>133LCTTTT22</t>
  </si>
  <si>
    <t>133LCTTTT23</t>
  </si>
  <si>
    <t>133LCTTTT24</t>
  </si>
  <si>
    <t>133LCTTTT25</t>
  </si>
  <si>
    <t>5. Tiền thu lãi cho vay, cổ tức và lợi nhuận được chia</t>
  </si>
  <si>
    <t>133LCTTTT30</t>
  </si>
  <si>
    <t>133LCTTTTIII</t>
  </si>
  <si>
    <t>133LCTTTT31</t>
  </si>
  <si>
    <t>133LCTTTT32</t>
  </si>
  <si>
    <t>133LCTTTT33</t>
  </si>
  <si>
    <t>133LCTTTT34</t>
  </si>
  <si>
    <t>4. Tiền trả nợ gốc vay và nợ thuê tài chính</t>
  </si>
  <si>
    <t>133LCTTTT35</t>
  </si>
  <si>
    <t>133LCTTTT40</t>
  </si>
  <si>
    <t>Lưu chuyển tiền thuần từ hoạt động tài chính (40=31+32+33+34+35)</t>
  </si>
  <si>
    <t>133LCTTTT50</t>
  </si>
  <si>
    <t>Lưu chuyển tiền thuần trong kỳ (50 = 20+30+40)</t>
  </si>
  <si>
    <t>133LCTTTT60</t>
  </si>
  <si>
    <t>133LCTTTT61</t>
  </si>
  <si>
    <t>133LCTTTT70</t>
  </si>
  <si>
    <t>200CDKT100</t>
  </si>
  <si>
    <t>200CDKT110</t>
  </si>
  <si>
    <t>I. Tiền và các khoản tương đương tiền</t>
  </si>
  <si>
    <t>Mã số 110 = Mã số 111 + Mã số 112</t>
  </si>
  <si>
    <t>200CDKT111</t>
  </si>
  <si>
    <t xml:space="preserve">1. Tiền </t>
  </si>
  <si>
    <t>200CDKT112</t>
  </si>
  <si>
    <t>2. Các khoản tương đương tiền</t>
  </si>
  <si>
    <t>200CDKT120</t>
  </si>
  <si>
    <t>II. Đầu tư tài chính ngắn hạn</t>
  </si>
  <si>
    <t>Mã số 120 = Mã số 121+ Mã số 122 + Mã số 123</t>
  </si>
  <si>
    <t>200CDKT121</t>
  </si>
  <si>
    <t>1. Chứng khoán kinh doanh</t>
  </si>
  <si>
    <t>200CDKT122</t>
  </si>
  <si>
    <t xml:space="preserve">2. Dự phòng giảm giá chứng khoán kinh doanh (*) </t>
  </si>
  <si>
    <t>200CDKT123</t>
  </si>
  <si>
    <t>3. Đầu tư nắm giữ đến ngày đáo hạn</t>
  </si>
  <si>
    <t>200CDKT130</t>
  </si>
  <si>
    <t>III. Các khoản phải thu ngắn hạn</t>
  </si>
  <si>
    <t>Mã số 130 = Mã số 131 + Mã số 132 + Mã số 133 + Mã số 134 + Mã số 135 + Mã số 136 + Mã số 137 + Mã số 139</t>
  </si>
  <si>
    <t>200CDKT131</t>
  </si>
  <si>
    <t xml:space="preserve">1. Phải thu ngắn hạn của khách hàng </t>
  </si>
  <si>
    <t>200CDKT132</t>
  </si>
  <si>
    <t>2. Trả trước cho người bán ngắn hạn</t>
  </si>
  <si>
    <t>200CDKT133</t>
  </si>
  <si>
    <t>3. Phải thu nội bộ ngắn hạn</t>
  </si>
  <si>
    <t>200CDKT134</t>
  </si>
  <si>
    <t>4. Phải thu theo tiến độ kế hoạch hợp đồng xây dựng</t>
  </si>
  <si>
    <t>200CDKT135</t>
  </si>
  <si>
    <t>5. Phải thu về cho vay ngắn hạn</t>
  </si>
  <si>
    <t>200CDKT136</t>
  </si>
  <si>
    <t>6. Phải thu ngắn hạn khác</t>
  </si>
  <si>
    <t>200CDKT137</t>
  </si>
  <si>
    <t>7. Dự phòng phải thu ngắn hạn khó đòi (*)</t>
  </si>
  <si>
    <t>200CDKT139</t>
  </si>
  <si>
    <t>8. Tài sản thiếu chờ xử lý</t>
  </si>
  <si>
    <t>200CDKT140</t>
  </si>
  <si>
    <t>IV. Hàng tồn kho</t>
  </si>
  <si>
    <t>Mã số 140 = Mã số 141 + Mã số 149</t>
  </si>
  <si>
    <t>200CDKT141</t>
  </si>
  <si>
    <t>1. Hàng tồn kho</t>
  </si>
  <si>
    <t>200CDKT149</t>
  </si>
  <si>
    <t>2. Dự phòng giảm giá hàng tồn kho (*)</t>
  </si>
  <si>
    <t>200CDKT150</t>
  </si>
  <si>
    <t>V. Tài sản ngắn hạn khác</t>
  </si>
  <si>
    <t>Mã số 150 = Mã số 151 + Mã số 152 + Mã số 153 + Mã số 154 + Mã số 155</t>
  </si>
  <si>
    <t>200CDKT151</t>
  </si>
  <si>
    <t xml:space="preserve">1. Chi phí trả trước ngắn hạn </t>
  </si>
  <si>
    <t>200CDKT152</t>
  </si>
  <si>
    <t>2. Thuế GTGT được khấu trừ</t>
  </si>
  <si>
    <t>200CDKT153</t>
  </si>
  <si>
    <t>3. Thuế và các khoản khác phải thu Nhà nước</t>
  </si>
  <si>
    <t>200CDKT154</t>
  </si>
  <si>
    <t>4. Giao dịch mua bán lại trái phiếu Chính phủ</t>
  </si>
  <si>
    <t>200CDKT155</t>
  </si>
  <si>
    <t>5. Tài sản ngắn hạn khác</t>
  </si>
  <si>
    <t>200CDKT200</t>
  </si>
  <si>
    <t>200CDKT210</t>
  </si>
  <si>
    <t xml:space="preserve">I. Các khoản phải thu dài hạn </t>
  </si>
  <si>
    <t>Mã số 210 = Mã số 211 + Mã số 212 + Mã số 213 + Mã số 214 + Mã số 215 + Mã số 216 + Mã số 219</t>
  </si>
  <si>
    <t>200CDKT211</t>
  </si>
  <si>
    <t>1. Phải thu dài hạn của khách hàng</t>
  </si>
  <si>
    <t>200CDKT212</t>
  </si>
  <si>
    <t>2. Trả trước cho người bán dài hạn</t>
  </si>
  <si>
    <t>200CDKT213</t>
  </si>
  <si>
    <t>3. Vốn kinh doanh ở đơn vị trực thuộc</t>
  </si>
  <si>
    <t>200CDKT214</t>
  </si>
  <si>
    <t>4. Phải thu nội bộ dài hạn</t>
  </si>
  <si>
    <t>200CDKT215</t>
  </si>
  <si>
    <t>5. Phải thu về cho vay dài hạn</t>
  </si>
  <si>
    <t>200CDKT216</t>
  </si>
  <si>
    <t>6. Phải thu dài hạn khác</t>
  </si>
  <si>
    <t>200CDKT219</t>
  </si>
  <si>
    <t>7. Dự phòng phải thu dài hạn khó đòi (*)</t>
  </si>
  <si>
    <t>200CDKT220</t>
  </si>
  <si>
    <t>II. Tài sản cố định</t>
  </si>
  <si>
    <t>Mã số 220 = Mã số 221 + Mã số 224 + Mã số 227</t>
  </si>
  <si>
    <t>200CDKT221</t>
  </si>
  <si>
    <t>1. Tài sản cố định hữu hình</t>
  </si>
  <si>
    <t>Mã số 221 = Mã số 222 + Mã số 223</t>
  </si>
  <si>
    <t>200CDKT222</t>
  </si>
  <si>
    <t xml:space="preserve"> - Nguyên giá</t>
  </si>
  <si>
    <t>200CDKT223</t>
  </si>
  <si>
    <t xml:space="preserve"> - Giá trị hao mòn luỹ kế (*)</t>
  </si>
  <si>
    <t>200CDKT224</t>
  </si>
  <si>
    <t>2. Tài sản cố định thuê tài chính</t>
  </si>
  <si>
    <t>Mã số 224 = Mã số 225 + Mã số 226</t>
  </si>
  <si>
    <t>200CDKT225</t>
  </si>
  <si>
    <t>200CDKT226</t>
  </si>
  <si>
    <t>200CDKT227</t>
  </si>
  <si>
    <t>3. Tài sản cố định vô hình</t>
  </si>
  <si>
    <t>Mã số 227 = Mã số 228 + Mã số 229</t>
  </si>
  <si>
    <t>200CDKT228</t>
  </si>
  <si>
    <t>200CDKT229</t>
  </si>
  <si>
    <t>200CDKT230</t>
  </si>
  <si>
    <t>III. Bất động sản đầu tư</t>
  </si>
  <si>
    <t>Mã số 230 = Mã số 231 + Mã số 232</t>
  </si>
  <si>
    <t>200CDKT231</t>
  </si>
  <si>
    <t>200CDKT232</t>
  </si>
  <si>
    <t>200CDKT240</t>
  </si>
  <si>
    <t xml:space="preserve">IV. Tài sản dở dang dài hạn </t>
  </si>
  <si>
    <t>Mã số 240 = Mã số 241 + Mã số 242</t>
  </si>
  <si>
    <t>200CDKT241</t>
  </si>
  <si>
    <t xml:space="preserve">1. Chi phí sản xuất, kinh doanh dở dang dài hạn </t>
  </si>
  <si>
    <t>200CDKT242</t>
  </si>
  <si>
    <t>2. Chi phí xây dựng cơ bản dở dang</t>
  </si>
  <si>
    <t>200CDKT250</t>
  </si>
  <si>
    <t>V. Đầu tư tài chính dài hạn</t>
  </si>
  <si>
    <t>Mã số 250 = Mã số 251 + Mã số 252 + Mã số 253 + Mã số 254 + Mã số 255</t>
  </si>
  <si>
    <t>200CDKT251</t>
  </si>
  <si>
    <t xml:space="preserve">1. Đầu tư vào công ty con </t>
  </si>
  <si>
    <t>200CDKT252</t>
  </si>
  <si>
    <t>2. Đầu tư vào công ty liên doanh, liên kết</t>
  </si>
  <si>
    <t>200CDKT253</t>
  </si>
  <si>
    <t>3. Đầu tư góp vốn vào đơn vị khác</t>
  </si>
  <si>
    <t>200CDKT254</t>
  </si>
  <si>
    <t>4. Dự phòng đầu tư tài chính dài hạn (*)</t>
  </si>
  <si>
    <t>200CDKT255</t>
  </si>
  <si>
    <t>5. Đầu tư nắm giữ đến ngày đáo hạn</t>
  </si>
  <si>
    <t>200CDKT260</t>
  </si>
  <si>
    <t>VI. Tài sản dài hạn khác</t>
  </si>
  <si>
    <t>Mã số 260 = Mã số 261 + Mã số 262 + Mã số 263+ Mã số 268</t>
  </si>
  <si>
    <t>200CDKT261</t>
  </si>
  <si>
    <t>1. Chi phí trả trước dài hạn</t>
  </si>
  <si>
    <t>200CDKT262</t>
  </si>
  <si>
    <t>2. Tài sản thuế thu nhập hoãn lại</t>
  </si>
  <si>
    <t>200CDKT263</t>
  </si>
  <si>
    <t>3. Thiết bị, vật tư, phụ tùng thay thế dài hạn</t>
  </si>
  <si>
    <t>200CDKT268</t>
  </si>
  <si>
    <t>4. Tài sản dài hạn khác</t>
  </si>
  <si>
    <t>200CDKT270</t>
  </si>
  <si>
    <t>TỔNG CỘNG TÀI SẢN (270 = 100 + 200)</t>
  </si>
  <si>
    <t>Mã số 270 = Mã số 100 + Mã số 200</t>
  </si>
  <si>
    <t>200CDKT300</t>
  </si>
  <si>
    <t>C - NỢ PHẢI TRẢ</t>
  </si>
  <si>
    <t>Mã số 300 = Mã số 310 + Mã số 330</t>
  </si>
  <si>
    <t>200CDKT310</t>
  </si>
  <si>
    <t>I. Nợ ngắn hạn</t>
  </si>
  <si>
    <t>Mã số 310 = Mã số 311 + Mã số 312 + Mã số 313 + Mã số 314 + Mã số 315 + Mã số 316 + Mã số 317 + Mã số 318 + Mã số 319 + Mã số 320 + Mã số 321 + Mã số 322 + Mã số 323 + Mã số 324</t>
  </si>
  <si>
    <t>200CDKT311</t>
  </si>
  <si>
    <t>1. Phải trả người bán ngắn hạn</t>
  </si>
  <si>
    <t>200CDKT312</t>
  </si>
  <si>
    <t>2. Người mua trả tiền trước ngắn hạn</t>
  </si>
  <si>
    <t>200CDKT313</t>
  </si>
  <si>
    <t>3. Thuế và các khoản phải nộp Nhà nước</t>
  </si>
  <si>
    <t>200CDKT314</t>
  </si>
  <si>
    <t>4. Phải trả người lao động</t>
  </si>
  <si>
    <t>200CDKT315</t>
  </si>
  <si>
    <t>5. Chi phí phải trả ngắn hạn</t>
  </si>
  <si>
    <t>200CDKT316</t>
  </si>
  <si>
    <t>6. Phải trả nội bộ ngắn hạn</t>
  </si>
  <si>
    <t>200CDKT317</t>
  </si>
  <si>
    <t>7. Phải trả theo tiến độ kế hoạch hợp đồng xây dựng</t>
  </si>
  <si>
    <t>200CDKT318</t>
  </si>
  <si>
    <t xml:space="preserve">8. Doanh thu chưa thực hiện ngắn hạn </t>
  </si>
  <si>
    <t>200CDKT319</t>
  </si>
  <si>
    <t>9. Phải trả ngắn hạn khác</t>
  </si>
  <si>
    <t>200CDKT320</t>
  </si>
  <si>
    <t>10. Vay và nợ thuê tài chính ngắn hạn</t>
  </si>
  <si>
    <t>200CDKT321</t>
  </si>
  <si>
    <t xml:space="preserve">11. Dự phòng phải trả ngắn hạn </t>
  </si>
  <si>
    <t>200CDKT322</t>
  </si>
  <si>
    <t xml:space="preserve">12. Quỹ khen thưởng, phúc lợi </t>
  </si>
  <si>
    <t>200CDKT323</t>
  </si>
  <si>
    <t>13. Quỹ bình ổn giá</t>
  </si>
  <si>
    <t>200CDKT324</t>
  </si>
  <si>
    <t>14. Giao dịch mua bán lại trái phiếu Chính phủ</t>
  </si>
  <si>
    <t>200CDKT330</t>
  </si>
  <si>
    <t>II. Nợ dài hạn</t>
  </si>
  <si>
    <t>Mã số 330 = Mã số 331 + Mã số 332 + Mã số 333 + Mã số 334 + Mã số 335 + Mã số 336 + Mã số 337 + Mã số 338 + Mã số 339 + Mã số 340 + Mã số 341 + Mã số 342 + Mã số 343</t>
  </si>
  <si>
    <t>200CDKT331</t>
  </si>
  <si>
    <t>1. Phải trả người bán dài hạn</t>
  </si>
  <si>
    <t>200CDKT332</t>
  </si>
  <si>
    <t>2. Người mua trả tiền trước dài hạn</t>
  </si>
  <si>
    <t>200CDKT333</t>
  </si>
  <si>
    <t>3. Chi phí phải trả dài hạn</t>
  </si>
  <si>
    <t>200CDKT334</t>
  </si>
  <si>
    <t>4. Phải trả nội bộ về vốn kinh doanh</t>
  </si>
  <si>
    <t>200CDKT335</t>
  </si>
  <si>
    <t>5. Phải trả nội bộ dài hạn</t>
  </si>
  <si>
    <t>200CDKT336</t>
  </si>
  <si>
    <t xml:space="preserve">6. Doanh thu chưa thực hiện dài hạn </t>
  </si>
  <si>
    <t>200CDKT337</t>
  </si>
  <si>
    <t>7. Phải trả dài hạn khác</t>
  </si>
  <si>
    <t>200CDKT338</t>
  </si>
  <si>
    <t xml:space="preserve">8. Vay và nợ thuê tài chính dài hạn </t>
  </si>
  <si>
    <t>200CDKT339</t>
  </si>
  <si>
    <t>9. Trái phiếu chuyển đổi</t>
  </si>
  <si>
    <t>200CDKT340</t>
  </si>
  <si>
    <t>10. Cổ phiếu ưu đãi</t>
  </si>
  <si>
    <t>200CDKT341</t>
  </si>
  <si>
    <t xml:space="preserve">11. Thuế thu nhập hoãn lại phải trả </t>
  </si>
  <si>
    <t>200CDKT342</t>
  </si>
  <si>
    <t xml:space="preserve">12. Dự phòng phải trả dài hạn </t>
  </si>
  <si>
    <t>200CDKT343</t>
  </si>
  <si>
    <t>13. Quỹ phát triển khoa học và công nghệ</t>
  </si>
  <si>
    <t>200CDKT400</t>
  </si>
  <si>
    <t>D - VỐN CHỦ SỞ HỮU</t>
  </si>
  <si>
    <t>Mã số 400 = Mã số 410 + Mã số 430</t>
  </si>
  <si>
    <t>200CDKT410</t>
  </si>
  <si>
    <t>I. Vốn chủ sở hữu</t>
  </si>
  <si>
    <t>Mã số 410 = Mã số 411 + Mã số 412 + Mã số 413 + Mã số 414 + Mã số 415 + Mã số 416 + Mã số 417 + Mã số 418 + Mã số 419 + Mã số 420 + Mã số 421 + Mã số 422</t>
  </si>
  <si>
    <t>200CDKT411</t>
  </si>
  <si>
    <t>1. Vốn góp của chủ sở hữu</t>
  </si>
  <si>
    <t>Mã số 411 = Mã số 411a + Mã số 411b</t>
  </si>
  <si>
    <t>200CDKT411a</t>
  </si>
  <si>
    <t>411a</t>
  </si>
  <si>
    <t xml:space="preserve"> - Cổ phiếu phổ thông có quyền biểu quyết</t>
  </si>
  <si>
    <t>200CDKT411b</t>
  </si>
  <si>
    <t>411b</t>
  </si>
  <si>
    <t xml:space="preserve"> - Cổ phiếu ưu đãi</t>
  </si>
  <si>
    <t>200CDKT412</t>
  </si>
  <si>
    <t>2. Thặng dư vốn cổ phần</t>
  </si>
  <si>
    <t>200CDKT413</t>
  </si>
  <si>
    <t>3. Quyền chọn chuyển đổi trái phiếu</t>
  </si>
  <si>
    <t>200CDKT414</t>
  </si>
  <si>
    <t xml:space="preserve">4. Vốn khác của chủ sở hữu </t>
  </si>
  <si>
    <t>200CDKT415</t>
  </si>
  <si>
    <t>5. Cổ phiếu quỹ (*)</t>
  </si>
  <si>
    <t>200CDKT416</t>
  </si>
  <si>
    <t>6. Chênh lệch đánh giá lại tài sản</t>
  </si>
  <si>
    <t>200CDKT417</t>
  </si>
  <si>
    <t>7. Chênh lệch tỷ giá hối đoái</t>
  </si>
  <si>
    <t>200CDKT418</t>
  </si>
  <si>
    <t>8. Quỹ đầu tư phát triển</t>
  </si>
  <si>
    <t>200CDKT419</t>
  </si>
  <si>
    <t>9. Quỹ hỗ trợ sắp xếp doanh nghiệp</t>
  </si>
  <si>
    <t>200CDKT420</t>
  </si>
  <si>
    <t>10. Quỹ khác thuộc vốn chủ sở hữu</t>
  </si>
  <si>
    <t>200CDKT421</t>
  </si>
  <si>
    <t>11. Lợi nhuận sau thuế chưa phân phối</t>
  </si>
  <si>
    <t>Mã số 421 = Mã số 421a + Mã số 421b</t>
  </si>
  <si>
    <t>200CDKT421a</t>
  </si>
  <si>
    <t>421a</t>
  </si>
  <si>
    <t xml:space="preserve"> - LNST chưa phân phối lũy kế đến cuối kỳ trước</t>
  </si>
  <si>
    <t>200CDKT421b</t>
  </si>
  <si>
    <t>421b</t>
  </si>
  <si>
    <t xml:space="preserve"> - LNST chưa phân phối kỳ này</t>
  </si>
  <si>
    <t>200CDKT422</t>
  </si>
  <si>
    <t>12. Nguồn vốn đầu tư XDCB</t>
  </si>
  <si>
    <t>200CDKT430</t>
  </si>
  <si>
    <t>II. Nguồn kinh phí và quỹ khác</t>
  </si>
  <si>
    <t>Mã số 430 = Mã số 431 + Mã số 432</t>
  </si>
  <si>
    <t>200CDKT431</t>
  </si>
  <si>
    <t xml:space="preserve"> 1. Nguồn kinh phí </t>
  </si>
  <si>
    <t>200CDKT432</t>
  </si>
  <si>
    <t xml:space="preserve"> 2. Nguồn kinh phí đã hình thành TSCĐ</t>
  </si>
  <si>
    <t>200CDKT440</t>
  </si>
  <si>
    <t>TỔNG CỘNG NGUỒN VỐN (440 = 300 + 400)</t>
  </si>
  <si>
    <t>Mã số 440 = Mã số 300 + Mã số 400</t>
  </si>
  <si>
    <t>200KQKD01</t>
  </si>
  <si>
    <t>200KQKD02</t>
  </si>
  <si>
    <t>200KQKD10</t>
  </si>
  <si>
    <t>10</t>
  </si>
  <si>
    <t>3. Doanh thu thuần về bán hàng và cung cấp dịch vụ (10 = 01 - 02)</t>
  </si>
  <si>
    <t>200KQKD11</t>
  </si>
  <si>
    <t>11</t>
  </si>
  <si>
    <t>200KQKD20</t>
  </si>
  <si>
    <t>20</t>
  </si>
  <si>
    <t>5. Lợi nhuận gộp về bán hàng và cung cấp dịch vụ (20 = 10 - 11)</t>
  </si>
  <si>
    <t>200KQKD21</t>
  </si>
  <si>
    <t>21</t>
  </si>
  <si>
    <t>200KQKD22</t>
  </si>
  <si>
    <t>22</t>
  </si>
  <si>
    <t>200KQKD23</t>
  </si>
  <si>
    <t>23</t>
  </si>
  <si>
    <t xml:space="preserve"> - Trong đó: Chi phí lãi vay </t>
  </si>
  <si>
    <t>200KQKD25</t>
  </si>
  <si>
    <t>8. Chi phí bán hàng</t>
  </si>
  <si>
    <t>200KQKD26</t>
  </si>
  <si>
    <t>9. Chi phí quản lý doanh nghiệp</t>
  </si>
  <si>
    <t>200KQKD30</t>
  </si>
  <si>
    <t>30</t>
  </si>
  <si>
    <t>10 Lợi nhuận thuần từ hoạt động kinh doanh {30 = 20 + (21 - 22) - (25 + 26)}</t>
  </si>
  <si>
    <t>200KQKD31</t>
  </si>
  <si>
    <t>31</t>
  </si>
  <si>
    <t>11. Thu nhập khác</t>
  </si>
  <si>
    <t>200KQKD32</t>
  </si>
  <si>
    <t>32</t>
  </si>
  <si>
    <t>12. Chi phí khác</t>
  </si>
  <si>
    <t>200KQKD40</t>
  </si>
  <si>
    <t>40</t>
  </si>
  <si>
    <t>13. Lợi nhuận khác (40 = 31 - 32)</t>
  </si>
  <si>
    <t>200KQKD50</t>
  </si>
  <si>
    <t>50</t>
  </si>
  <si>
    <t>14. Tổng lợi nhuận kế toán trước thuế (50 = 30 + 40)</t>
  </si>
  <si>
    <t>200KQKD51</t>
  </si>
  <si>
    <t>51</t>
  </si>
  <si>
    <t>15. Chi phí thuế TNDN hiện hành</t>
  </si>
  <si>
    <t>200KQKD52</t>
  </si>
  <si>
    <t>52</t>
  </si>
  <si>
    <t>16. Chi phí thuế TNDN hoãn lại</t>
  </si>
  <si>
    <t>200KQKD60</t>
  </si>
  <si>
    <t>60</t>
  </si>
  <si>
    <t>17. Lợi nhuận sau thuế thu nhập doanh nghiệp (60 = 50 – 51 - 52)</t>
  </si>
  <si>
    <t>200KQKD70</t>
  </si>
  <si>
    <t>70</t>
  </si>
  <si>
    <t>18. Lãi cơ bản trên cổ phiếu (*)</t>
  </si>
  <si>
    <t>200KQKD71</t>
  </si>
  <si>
    <t>71</t>
  </si>
  <si>
    <t>19. Lãi suy giảm trên cổ phiếu (*)</t>
  </si>
  <si>
    <t>200LCTTGTI</t>
  </si>
  <si>
    <t>200LCTTGT01</t>
  </si>
  <si>
    <t>200LCTTGTI2</t>
  </si>
  <si>
    <t>2. Điều chỉnh cho các khoản</t>
  </si>
  <si>
    <t>200LCTTGT02</t>
  </si>
  <si>
    <t>200LCTTGT03</t>
  </si>
  <si>
    <t>200LCTTGT04</t>
  </si>
  <si>
    <t>200LCTTGT05</t>
  </si>
  <si>
    <t>200LCTTGT06</t>
  </si>
  <si>
    <t>200LCTTGT07</t>
  </si>
  <si>
    <t xml:space="preserve">- Các khoản điều chỉnh khác </t>
  </si>
  <si>
    <t>200LCTTGT08</t>
  </si>
  <si>
    <t>3. Lợi nhuận từ hoạt động kinh doanh trước thay đổi vốn lưu động (08=01+02+03+04+05+06+07)</t>
  </si>
  <si>
    <t>200LCTTGT09</t>
  </si>
  <si>
    <t>200LCTTGT10</t>
  </si>
  <si>
    <t>200LCTTGT11</t>
  </si>
  <si>
    <t>200LCTTGT12</t>
  </si>
  <si>
    <t>12</t>
  </si>
  <si>
    <t>200LCTTGT13</t>
  </si>
  <si>
    <t>13</t>
  </si>
  <si>
    <t>200LCTTGT14</t>
  </si>
  <si>
    <t>14</t>
  </si>
  <si>
    <t>200LCTTGT15</t>
  </si>
  <si>
    <t>15</t>
  </si>
  <si>
    <t>200LCTTGT16</t>
  </si>
  <si>
    <t>16</t>
  </si>
  <si>
    <t>200LCTTGT17</t>
  </si>
  <si>
    <t>17</t>
  </si>
  <si>
    <t>200LCTTGT20</t>
  </si>
  <si>
    <t>Lưu chuyển tiền thuần từ hoạt động kinh doanh (20=08+09+10+11+12+13+14+15+16+17)</t>
  </si>
  <si>
    <t>200LCTTGTII</t>
  </si>
  <si>
    <t>200LCTTGT21</t>
  </si>
  <si>
    <t>1. Tiền chi để mua sắm, xây dựng TSCĐ và các tài sản dài hạn khác</t>
  </si>
  <si>
    <t>200LCTTGT22</t>
  </si>
  <si>
    <t>2. Tiền thu từ thanh lý, nhượng bán TSCĐ và các tài sản dài hạn khác</t>
  </si>
  <si>
    <t>200LCTTGT23</t>
  </si>
  <si>
    <t>3. Tiền chi cho vay, mua các công cụ nợ của đơn vị khác</t>
  </si>
  <si>
    <t>200LCTTGT24</t>
  </si>
  <si>
    <t>24</t>
  </si>
  <si>
    <t>4. Tiền thu hồi cho vay, bán lại các công cụ nợ của đơn vị khác</t>
  </si>
  <si>
    <t>200LCTTGT25</t>
  </si>
  <si>
    <t>25</t>
  </si>
  <si>
    <t>5. Tiền chi đầu tư góp vốn vào đơn vị khác</t>
  </si>
  <si>
    <t>200LCTTGT26</t>
  </si>
  <si>
    <t>26</t>
  </si>
  <si>
    <t>6. Tiền thu hồi đầu tư góp vốn vào đơn vị khác</t>
  </si>
  <si>
    <t>200LCTTGT27</t>
  </si>
  <si>
    <t>27</t>
  </si>
  <si>
    <t>7. Tiền thu lãi cho vay, cổ tức và lợi nhuận được chia</t>
  </si>
  <si>
    <t>200LCTTGT30</t>
  </si>
  <si>
    <t>Lưu chuyển tiền thuần từ hoạt động đầu tư (30=21+22+23+24+25+26+27)</t>
  </si>
  <si>
    <t>200LCTTGTIII</t>
  </si>
  <si>
    <t>200LCTTGT31</t>
  </si>
  <si>
    <t>200LCTTGT32</t>
  </si>
  <si>
    <t xml:space="preserve">2. Tiền trả lại vốn góp cho các chủ sở hữu, mua lại cổ phiếu của doanh nghiệp đã phát hành </t>
  </si>
  <si>
    <t>200LCTTGT33</t>
  </si>
  <si>
    <t>33</t>
  </si>
  <si>
    <t>200LCTTGT34</t>
  </si>
  <si>
    <t>34</t>
  </si>
  <si>
    <t>4. Tiền trả nợ gốc vay</t>
  </si>
  <si>
    <t>200LCTTGT35</t>
  </si>
  <si>
    <t>35</t>
  </si>
  <si>
    <t>5. Tiền trả nợ gốc thuê tài chính</t>
  </si>
  <si>
    <t>200LCTTGT36</t>
  </si>
  <si>
    <t>36</t>
  </si>
  <si>
    <t>6. Cổ tức, lợi nhuận đã trả cho chủ sở hữu</t>
  </si>
  <si>
    <t>200LCTTGT40</t>
  </si>
  <si>
    <t>Lưu chuyển tiền thuần từ hoạt động tài chính (40=31+32+33+34+35+36)</t>
  </si>
  <si>
    <t>200LCTTGT50</t>
  </si>
  <si>
    <t>Lưu chuyển tiền thuần trong kỳ (50 = 20 + 30 + 40)</t>
  </si>
  <si>
    <t>200LCTTGT60</t>
  </si>
  <si>
    <t>200LCTTGT61</t>
  </si>
  <si>
    <t>61</t>
  </si>
  <si>
    <t>200LCTTGT70</t>
  </si>
  <si>
    <t>Tiền và tương đương tiền cuối kỳ (70 = 50 + 60 + 61)</t>
  </si>
  <si>
    <t>200LCTTTTI</t>
  </si>
  <si>
    <t>200LCTTTT01</t>
  </si>
  <si>
    <t>200LCTTTT02</t>
  </si>
  <si>
    <t>2. Tiền chi trả cho người cung cấp hàng hóa và dịch vụ</t>
  </si>
  <si>
    <t>200LCTTTT03</t>
  </si>
  <si>
    <t>200LCTTTT04</t>
  </si>
  <si>
    <t>200LCTTTT05</t>
  </si>
  <si>
    <t>200LCTTTT06</t>
  </si>
  <si>
    <t>200LCTTTT07</t>
  </si>
  <si>
    <t>200LCTTTT20</t>
  </si>
  <si>
    <t>200LCTTTTII</t>
  </si>
  <si>
    <t>200LCTTTT21</t>
  </si>
  <si>
    <t>200LCTTTT22</t>
  </si>
  <si>
    <t>200LCTTTT23</t>
  </si>
  <si>
    <t>200LCTTTT24</t>
  </si>
  <si>
    <t>200LCTTTT25</t>
  </si>
  <si>
    <t>200LCTTTT26</t>
  </si>
  <si>
    <t>200LCTTTT27</t>
  </si>
  <si>
    <t>200LCTTTT30</t>
  </si>
  <si>
    <t>200LCTTTTIII</t>
  </si>
  <si>
    <t>200LCTTTT31</t>
  </si>
  <si>
    <t>200LCTTTT32</t>
  </si>
  <si>
    <t>200LCTTTT33</t>
  </si>
  <si>
    <t>200LCTTTT34</t>
  </si>
  <si>
    <t>200LCTTTT35</t>
  </si>
  <si>
    <t>200LCTTTT36</t>
  </si>
  <si>
    <t>200LCTTTT40</t>
  </si>
  <si>
    <t>200LCTTTT50</t>
  </si>
  <si>
    <t>200LCTTTT60</t>
  </si>
  <si>
    <t>200LCTTTT61</t>
  </si>
  <si>
    <t>200LCTTTT70</t>
  </si>
  <si>
    <t>99CDKT100</t>
  </si>
  <si>
    <t>100</t>
  </si>
  <si>
    <t>Mã số 100=Mã số 110+Mã số 120+Mã số 130+Mã số 140+Mã số 150+Mã số 160</t>
  </si>
  <si>
    <t>99CDKT110</t>
  </si>
  <si>
    <t>110</t>
  </si>
  <si>
    <t>Mã số 110=Mã số 111+Mã số 112</t>
  </si>
  <si>
    <t>99CDKT111</t>
  </si>
  <si>
    <t>111</t>
  </si>
  <si>
    <t>1. Tiền</t>
  </si>
  <si>
    <t>99CDKT112</t>
  </si>
  <si>
    <t>112</t>
  </si>
  <si>
    <t>99CDKT120</t>
  </si>
  <si>
    <t>120</t>
  </si>
  <si>
    <t>Mã số 120=Mã số 121+Mã số 122+Mã số 123+Mã số 124+Mã số 125+Mã số 126</t>
  </si>
  <si>
    <t>99CDKT121</t>
  </si>
  <si>
    <t>121</t>
  </si>
  <si>
    <t>99CDKT122</t>
  </si>
  <si>
    <t>122</t>
  </si>
  <si>
    <t>2. Dự phòng giảm giá chứng khoán kinh doanh (*)</t>
  </si>
  <si>
    <t>99CDKT123</t>
  </si>
  <si>
    <t>123</t>
  </si>
  <si>
    <t>3. Đầu tư nắm giữ đến ngày đáo hạn ngắn hạn</t>
  </si>
  <si>
    <t>99CDKT124</t>
  </si>
  <si>
    <t>124</t>
  </si>
  <si>
    <t>4. Dự phòng đầu tư nắm giữ đến ngày đáo hạn ngắn hạn (*)</t>
  </si>
  <si>
    <t>99CDKT125</t>
  </si>
  <si>
    <t>125</t>
  </si>
  <si>
    <t>5. Đầu tư ngắn hạn khác</t>
  </si>
  <si>
    <t>99CDKT126</t>
  </si>
  <si>
    <t>126</t>
  </si>
  <si>
    <t>6. Dự phòng tổn thất các khoản đầu tư ngắn hạn khác (*)</t>
  </si>
  <si>
    <t>99CDKT130</t>
  </si>
  <si>
    <t>130</t>
  </si>
  <si>
    <t>Mã số 130=Mã số 131+Mã số 132+Mã số 133+Mã số 134+Mã số 135+Mã số 136+Mã số 137</t>
  </si>
  <si>
    <t>99CDKT131</t>
  </si>
  <si>
    <t>131</t>
  </si>
  <si>
    <t>1. Phải thu ngắn hạn của khách hàng</t>
  </si>
  <si>
    <t>99CDKT132</t>
  </si>
  <si>
    <t>132</t>
  </si>
  <si>
    <t>99CDKT133</t>
  </si>
  <si>
    <t>133</t>
  </si>
  <si>
    <t>99CDKT134</t>
  </si>
  <si>
    <t>134</t>
  </si>
  <si>
    <t>4. Phải thu theo tiến độ hợp đồng xây dựng</t>
  </si>
  <si>
    <t>99CDKT135</t>
  </si>
  <si>
    <t>135</t>
  </si>
  <si>
    <t>5. Phải thu ngắn hạn khác</t>
  </si>
  <si>
    <t>99CDKT136</t>
  </si>
  <si>
    <t>136</t>
  </si>
  <si>
    <t>6. Dự phòng phải thu ngắn hạn khó đòi (*)</t>
  </si>
  <si>
    <t>99CDKT137</t>
  </si>
  <si>
    <t>137</t>
  </si>
  <si>
    <t>7. Tài sản thiếu chờ xử lý</t>
  </si>
  <si>
    <t>99CDKT140</t>
  </si>
  <si>
    <t>140</t>
  </si>
  <si>
    <t>Mã số 140=Mã số 141+Mã số 142</t>
  </si>
  <si>
    <t>99CDKT141</t>
  </si>
  <si>
    <t>141</t>
  </si>
  <si>
    <t>99CDKT142</t>
  </si>
  <si>
    <t>142</t>
  </si>
  <si>
    <t>99CDKT150</t>
  </si>
  <si>
    <t>150</t>
  </si>
  <si>
    <t>V. Tài sản sinh học ngắn hạn</t>
  </si>
  <si>
    <t>Mã số 150=Mã số 151+Mã số 152+Mã số 153</t>
  </si>
  <si>
    <t>99CDKT151</t>
  </si>
  <si>
    <t>151</t>
  </si>
  <si>
    <t>1. Súc vật nuôi lấy sản phẩm một lần ngắn hạn</t>
  </si>
  <si>
    <t>99CDKT152</t>
  </si>
  <si>
    <t>152</t>
  </si>
  <si>
    <t>2. Cây trồng theo mùa vụ hoặc lấy sản phẩm một lần ngắn hạn</t>
  </si>
  <si>
    <t>99CDKT153</t>
  </si>
  <si>
    <t>153</t>
  </si>
  <si>
    <t>3. Dự phòng tổn thất tài sản sinh học ngắn hạn (*)</t>
  </si>
  <si>
    <t>99CDKT160</t>
  </si>
  <si>
    <t>160</t>
  </si>
  <si>
    <t>VI. Tài sản ngắn hạn khác</t>
  </si>
  <si>
    <t>Mã số 160=Mã số 161+Mã số 162+Mã số 163+Mã số 164+Mã số 165</t>
  </si>
  <si>
    <t>99CDKT161</t>
  </si>
  <si>
    <t>161</t>
  </si>
  <si>
    <t>1. Chi phí chờ phân bổ ngắn hạn</t>
  </si>
  <si>
    <t>99CDKT162</t>
  </si>
  <si>
    <t>162</t>
  </si>
  <si>
    <t>99CDKT163</t>
  </si>
  <si>
    <t>163</t>
  </si>
  <si>
    <t>99CDKT164</t>
  </si>
  <si>
    <t>164</t>
  </si>
  <si>
    <t>99CDKT165</t>
  </si>
  <si>
    <t>165</t>
  </si>
  <si>
    <t>99CDKT200</t>
  </si>
  <si>
    <t>200</t>
  </si>
  <si>
    <t>Mã số 200=Mã số 210+Mã số 220+Mã số 230+Mã số 240+Mã số 250+Mã số 260+Mã số 270</t>
  </si>
  <si>
    <t>99CDKT210</t>
  </si>
  <si>
    <t>210</t>
  </si>
  <si>
    <t>I. Các khoản phải thu dài hạn</t>
  </si>
  <si>
    <t>Mã số 210=Mã số 211+Mã số 212+Mã số 213+Mã số 214+Mã số 215+Mã số 216</t>
  </si>
  <si>
    <t>99CDKT211</t>
  </si>
  <si>
    <t>211</t>
  </si>
  <si>
    <t>99CDKT212</t>
  </si>
  <si>
    <t>212</t>
  </si>
  <si>
    <t>99CDKT213</t>
  </si>
  <si>
    <t>213</t>
  </si>
  <si>
    <t>99CDKT214</t>
  </si>
  <si>
    <t>214</t>
  </si>
  <si>
    <t>99CDKT215</t>
  </si>
  <si>
    <t>215</t>
  </si>
  <si>
    <t>5. Phải thu dài hạn khác</t>
  </si>
  <si>
    <t>99CDKT216</t>
  </si>
  <si>
    <t>216</t>
  </si>
  <si>
    <t>6. Dự phòng phải thu dài hạn khó đòi (*)</t>
  </si>
  <si>
    <t>99CDKT220</t>
  </si>
  <si>
    <t>220</t>
  </si>
  <si>
    <t>Mã số 220=Mã số 221+Mã số 224+Mã số 227</t>
  </si>
  <si>
    <t>99CDKT221</t>
  </si>
  <si>
    <t>221</t>
  </si>
  <si>
    <t>Mã số 221=Mã số 222+Mã số 223</t>
  </si>
  <si>
    <t>99CDKT222</t>
  </si>
  <si>
    <t>222</t>
  </si>
  <si>
    <t>- Nguyên giá</t>
  </si>
  <si>
    <t>99CDKT223</t>
  </si>
  <si>
    <t>223</t>
  </si>
  <si>
    <t>- Giá trị hao mòn lũy kế (*)</t>
  </si>
  <si>
    <t>99CDKT224</t>
  </si>
  <si>
    <t>224</t>
  </si>
  <si>
    <t>Mã số 224=Mã số 225+Mã số 226</t>
  </si>
  <si>
    <t>99CDKT225</t>
  </si>
  <si>
    <t>225</t>
  </si>
  <si>
    <t>99CDKT226</t>
  </si>
  <si>
    <t>226</t>
  </si>
  <si>
    <t>99CDKT227</t>
  </si>
  <si>
    <t>227</t>
  </si>
  <si>
    <t>Mã số 227=Mã số 228+Mã số 229</t>
  </si>
  <si>
    <t>99CDKT228</t>
  </si>
  <si>
    <t>228</t>
  </si>
  <si>
    <t>99CDKT229</t>
  </si>
  <si>
    <t>229</t>
  </si>
  <si>
    <t>99CDKT230</t>
  </si>
  <si>
    <t>230</t>
  </si>
  <si>
    <t>III. Tài sản sinh học dài hạn</t>
  </si>
  <si>
    <t>Mã số 230=Mã số 231+Mã số 236+Mã số 237+Mã số 238</t>
  </si>
  <si>
    <t>99CDKT231</t>
  </si>
  <si>
    <t>231</t>
  </si>
  <si>
    <t>1. Súc vật nuôi cho sản phẩm định kỳ</t>
  </si>
  <si>
    <t>Mã số 231=Mã số 232+Mã số 233</t>
  </si>
  <si>
    <t>99CDKT232</t>
  </si>
  <si>
    <t>232</t>
  </si>
  <si>
    <t>a) Súc vật nuôi cho sản phẩm định kỳ chưa đến giai đoạn trưởng thành</t>
  </si>
  <si>
    <t>99CDKT233</t>
  </si>
  <si>
    <t>233</t>
  </si>
  <si>
    <t>b) Súc vật nuôi cho sản phẩm định kỳ đến giai đoạn trưởng thành</t>
  </si>
  <si>
    <t>Mã số 233=Mã số 234+Mã số 235</t>
  </si>
  <si>
    <t>99CDKT234</t>
  </si>
  <si>
    <t>234</t>
  </si>
  <si>
    <t>99CDKT235</t>
  </si>
  <si>
    <t>235</t>
  </si>
  <si>
    <t>- Giá trị khấu hao lũy kế (*)</t>
  </si>
  <si>
    <t>99CDKT236</t>
  </si>
  <si>
    <t>236</t>
  </si>
  <si>
    <t>2. Súc vật nuôi lấy sản phẩm một lần dài hạn</t>
  </si>
  <si>
    <t>99CDKT237</t>
  </si>
  <si>
    <t>237</t>
  </si>
  <si>
    <t>3. Cây trồng theo mùa vụ hoặc lấy sản phẩm một lần dài hạn</t>
  </si>
  <si>
    <t>99CDKT238</t>
  </si>
  <si>
    <t>238</t>
  </si>
  <si>
    <t>4. Dự phòng tổn thất tài sản sinh học dài hạn (*)</t>
  </si>
  <si>
    <t>99CDKT240</t>
  </si>
  <si>
    <t>240</t>
  </si>
  <si>
    <t>IV. Bất động sản đầu tư</t>
  </si>
  <si>
    <t>Mã số 240=Mã số 241+ Mã số 242</t>
  </si>
  <si>
    <t>99CDKT241</t>
  </si>
  <si>
    <t>241</t>
  </si>
  <si>
    <t>99CDKT242</t>
  </si>
  <si>
    <t>242</t>
  </si>
  <si>
    <t>99CDKT250</t>
  </si>
  <si>
    <t>250</t>
  </si>
  <si>
    <t>V. Tài sản dở dang dài hạn</t>
  </si>
  <si>
    <t>Mã số 250=Mã số 251+ Mã số 252</t>
  </si>
  <si>
    <t>99CDKT251</t>
  </si>
  <si>
    <t>251</t>
  </si>
  <si>
    <t>1. Chi phí sản xuất, kinh doanh dở dang dài hạn</t>
  </si>
  <si>
    <t>99CDKT252</t>
  </si>
  <si>
    <t>252</t>
  </si>
  <si>
    <t>99CDKT260</t>
  </si>
  <si>
    <t>260</t>
  </si>
  <si>
    <t>VI. Đầu tư tài chính dài hạn</t>
  </si>
  <si>
    <t>Mã số 260=Mã số 261+ Mã số 262+ Mã số 263+ Mã số 264+ Mã số 265+Mã số 266</t>
  </si>
  <si>
    <t>99CDKT261</t>
  </si>
  <si>
    <t>261</t>
  </si>
  <si>
    <t>1. Đầu tư vào công ty con</t>
  </si>
  <si>
    <t>99CDKT262</t>
  </si>
  <si>
    <t>262</t>
  </si>
  <si>
    <t>99CDKT263</t>
  </si>
  <si>
    <t>263</t>
  </si>
  <si>
    <t>99CDKT264</t>
  </si>
  <si>
    <t>264</t>
  </si>
  <si>
    <t>4. Dự phòng tổn thất đầu tư vào đơn vị khác dài hạn (*)</t>
  </si>
  <si>
    <t>99CDKT265</t>
  </si>
  <si>
    <t>265</t>
  </si>
  <si>
    <t>5. Đầu tư nắm giữ đến ngày đáo hạn dài hạn</t>
  </si>
  <si>
    <t>99CDKT266</t>
  </si>
  <si>
    <t>266</t>
  </si>
  <si>
    <t>6. Dự phòng đầu tư nắm giữ đến ngày đáo hạn dài hạn (*)</t>
  </si>
  <si>
    <t>99CDKT270</t>
  </si>
  <si>
    <t>270</t>
  </si>
  <si>
    <t>VII. Tài sản dài hạn khác</t>
  </si>
  <si>
    <t>Mã số 270=Mã số 271+ Mã số 272+ Mã số 273+ Mã số 274+Mã số 279</t>
  </si>
  <si>
    <t>99CDKT271</t>
  </si>
  <si>
    <t>271</t>
  </si>
  <si>
    <t>1. Chi phí chờ phân bổ dài hạn</t>
  </si>
  <si>
    <t>99CDKT272</t>
  </si>
  <si>
    <t>272</t>
  </si>
  <si>
    <t>99CDKT273</t>
  </si>
  <si>
    <t>273</t>
  </si>
  <si>
    <t>99CDKT274</t>
  </si>
  <si>
    <t>274</t>
  </si>
  <si>
    <t>99CDKT279</t>
  </si>
  <si>
    <t>279</t>
  </si>
  <si>
    <t>5.Lợi thế thương mại</t>
  </si>
  <si>
    <t>99CDKT280</t>
  </si>
  <si>
    <t>280</t>
  </si>
  <si>
    <t>TỔNG CỘNG TÀI SẢN (280 = 100 + 200)</t>
  </si>
  <si>
    <t>Mã số 280=Mã số 100 +Mã số 200</t>
  </si>
  <si>
    <t>99CDKT300</t>
  </si>
  <si>
    <t>300</t>
  </si>
  <si>
    <t>Mã số 300= Mã số 310+Mã số 330</t>
  </si>
  <si>
    <t>99CDKT310</t>
  </si>
  <si>
    <t>310</t>
  </si>
  <si>
    <t>Mã số 310= Mã số 311+ Mã số 312+ Mã số 313+ Mã số 314+ Mã số 315+ Mã số 316+ Mã số 317+ Mã số 318+ Mã số 319+ Mã số 320+ Mã số 321+ Mã số 322+ Mã số 323+ Mã số 324+Mã số 325</t>
  </si>
  <si>
    <t>99CDKT311</t>
  </si>
  <si>
    <t>311</t>
  </si>
  <si>
    <t>99CDKT312</t>
  </si>
  <si>
    <t>312</t>
  </si>
  <si>
    <t>99CDKT313</t>
  </si>
  <si>
    <t>313</t>
  </si>
  <si>
    <t>3. Phải trả cổ tức, lợi nhuận</t>
  </si>
  <si>
    <t>99CDKT314</t>
  </si>
  <si>
    <t>314</t>
  </si>
  <si>
    <t>4. Thuế và các khoản phải nộp Nhà nước ngắn hạn</t>
  </si>
  <si>
    <t>99CDKT315</t>
  </si>
  <si>
    <t>315</t>
  </si>
  <si>
    <t>5. Phải trả người lao động</t>
  </si>
  <si>
    <t>99CDKT316</t>
  </si>
  <si>
    <t>316</t>
  </si>
  <si>
    <t>6. Chi phí phải trả ngắn hạn</t>
  </si>
  <si>
    <t>99CDKT317</t>
  </si>
  <si>
    <t>317</t>
  </si>
  <si>
    <t>7. Phải trả nội bộ ngắn hạn</t>
  </si>
  <si>
    <t>99CDKT318</t>
  </si>
  <si>
    <t>318</t>
  </si>
  <si>
    <t>8. Phải trả theo tiến độ hợp đồng xây dựng ngắn hạn</t>
  </si>
  <si>
    <t>99CDKT319</t>
  </si>
  <si>
    <t>319</t>
  </si>
  <si>
    <t>9. Doanh thu chờ phân bổ ngắn hạn</t>
  </si>
  <si>
    <t>99CDKT320</t>
  </si>
  <si>
    <t>320</t>
  </si>
  <si>
    <t>10. Phải trả ngắn hạn khác</t>
  </si>
  <si>
    <t>99CDKT321</t>
  </si>
  <si>
    <t>321</t>
  </si>
  <si>
    <t>11. Vay và nợ thuê tài chính ngắn hạn</t>
  </si>
  <si>
    <t>99CDKT322</t>
  </si>
  <si>
    <t>322</t>
  </si>
  <si>
    <t>12. Dự phòng phải trả ngắn hạn</t>
  </si>
  <si>
    <t>99CDKT323</t>
  </si>
  <si>
    <t>323</t>
  </si>
  <si>
    <t>13. Quỹ khen thưởng, phúc lợi</t>
  </si>
  <si>
    <t>99CDKT324</t>
  </si>
  <si>
    <t>324</t>
  </si>
  <si>
    <t>14. Quỹ bình ổn giá</t>
  </si>
  <si>
    <t>99CDKT325</t>
  </si>
  <si>
    <t>325</t>
  </si>
  <si>
    <t>15. Giao dịch mua bán lại trái phiếu Chính phủ</t>
  </si>
  <si>
    <t>99CDKT330</t>
  </si>
  <si>
    <t>330</t>
  </si>
  <si>
    <t>Mã số 330=Mã số 331+ Mã số 332+ Mã số 333+ Mã số 334+ Mã số 335+ Mã số 336+ Mã số 337+ Mã số 338+ Mã số 339+ Mã số 340+ Mã số 341+ Mã số 342+ Mã số 343+Mã số 344</t>
  </si>
  <si>
    <t>99CDKT331</t>
  </si>
  <si>
    <t>331</t>
  </si>
  <si>
    <t>99CDKT332</t>
  </si>
  <si>
    <t>332</t>
  </si>
  <si>
    <t>99CDKT333</t>
  </si>
  <si>
    <t>333</t>
  </si>
  <si>
    <t>3. Thuế và các khoản phải nộp Nhà nước dài hạn</t>
  </si>
  <si>
    <t>99CDKT334</t>
  </si>
  <si>
    <t>334</t>
  </si>
  <si>
    <t>4. Chi phí phải trả dài hạn</t>
  </si>
  <si>
    <t>99CDKT335</t>
  </si>
  <si>
    <t>335</t>
  </si>
  <si>
    <t>5. Phải trả nội bộ về vốn kinh doanh</t>
  </si>
  <si>
    <t>99CDKT336</t>
  </si>
  <si>
    <t>336</t>
  </si>
  <si>
    <t>6. Phải trả nội bộ dài hạn</t>
  </si>
  <si>
    <t>99CDKT337</t>
  </si>
  <si>
    <t>337</t>
  </si>
  <si>
    <t>7. Doanh thu chờ phân bổ dài hạn</t>
  </si>
  <si>
    <t>99CDKT338</t>
  </si>
  <si>
    <t>338</t>
  </si>
  <si>
    <t>8. Phải trả dài hạn khác</t>
  </si>
  <si>
    <t>99CDKT339</t>
  </si>
  <si>
    <t>339</t>
  </si>
  <si>
    <t>9. Vay và nợ thuê tài chính dài hạn</t>
  </si>
  <si>
    <t>99CDKT340</t>
  </si>
  <si>
    <t>340</t>
  </si>
  <si>
    <t>10. Trái phiếu chuyển đổi</t>
  </si>
  <si>
    <t>99CDKT341</t>
  </si>
  <si>
    <t>341</t>
  </si>
  <si>
    <t>11. Cổ phiếu ưu đãi</t>
  </si>
  <si>
    <t>99CDKT342</t>
  </si>
  <si>
    <t>342</t>
  </si>
  <si>
    <t>12. Thuế thu nhập hoãn lại phải trả</t>
  </si>
  <si>
    <t>99CDKT343</t>
  </si>
  <si>
    <t>343</t>
  </si>
  <si>
    <t>13. Dự phòng phải trả dài hạn</t>
  </si>
  <si>
    <t>99CDKT344</t>
  </si>
  <si>
    <t>344</t>
  </si>
  <si>
    <t>14. Quỹ phát triển khoa học và công nghệ</t>
  </si>
  <si>
    <t>99CDKT400</t>
  </si>
  <si>
    <t>400</t>
  </si>
  <si>
    <t>Mã số 400=Mã số 411+ Mã số 412+ Mã số 413+ Mã số 414+ Mã số 415+ Mã số 416+ Mã số 417+Mã số 418+Mã số 419+Mã số 420+Mã số 429</t>
  </si>
  <si>
    <t>99CDKT411</t>
  </si>
  <si>
    <t>411</t>
  </si>
  <si>
    <t>Mã số 411=Mã số 4111+Mã số 4112</t>
  </si>
  <si>
    <t>- Cổ phiếu phổ thông có quyền biểu quyết</t>
  </si>
  <si>
    <t>- Cổ phiếu ưu đãi</t>
  </si>
  <si>
    <t>99CDKT412</t>
  </si>
  <si>
    <t>412</t>
  </si>
  <si>
    <t>2. Thặng dư vốn</t>
  </si>
  <si>
    <t>99CDKT413</t>
  </si>
  <si>
    <t>413</t>
  </si>
  <si>
    <t>99CDKT414</t>
  </si>
  <si>
    <t>414</t>
  </si>
  <si>
    <t>4. Vốn khác của chủ sở hữu</t>
  </si>
  <si>
    <t>99CDKT415</t>
  </si>
  <si>
    <t>415</t>
  </si>
  <si>
    <t>5. Cổ phiếu mua lại của chính mình (*)</t>
  </si>
  <si>
    <t>99CDKT416</t>
  </si>
  <si>
    <t>416</t>
  </si>
  <si>
    <t>99CDKT417</t>
  </si>
  <si>
    <t>417</t>
  </si>
  <si>
    <t>99CDKT418</t>
  </si>
  <si>
    <t>418</t>
  </si>
  <si>
    <t>99CDKT419</t>
  </si>
  <si>
    <t>419</t>
  </si>
  <si>
    <t>9. Quỹ khác thuộc vốn chủ sở hữu</t>
  </si>
  <si>
    <t>99CDKT420</t>
  </si>
  <si>
    <t>420</t>
  </si>
  <si>
    <t>10. Lợi nhuận sau thuế chưa phân phối</t>
  </si>
  <si>
    <t>Mã số 420=Mã số 4201+Mã số 4202</t>
  </si>
  <si>
    <t>99CDKT4201</t>
  </si>
  <si>
    <t>- LNST chưa phân phối lũy kế đến cuối kỳ trước</t>
  </si>
  <si>
    <t>99CDKT4202</t>
  </si>
  <si>
    <t>- LNST chưa phân phối kỳ này</t>
  </si>
  <si>
    <t>99CDKT429</t>
  </si>
  <si>
    <t>429</t>
  </si>
  <si>
    <t>11. Lợi ích cổ đông không kiểm soát</t>
  </si>
  <si>
    <t>99CDKT440</t>
  </si>
  <si>
    <t>440</t>
  </si>
  <si>
    <t>Mã số 440=Mã số 300+Mã số 400</t>
  </si>
  <si>
    <t>99KQKD01</t>
  </si>
  <si>
    <t>99KQKD02</t>
  </si>
  <si>
    <t>99KQKD10</t>
  </si>
  <si>
    <t>99KQKD11</t>
  </si>
  <si>
    <t>99KQKD20</t>
  </si>
  <si>
    <t>99KQKD21</t>
  </si>
  <si>
    <t>6.Lãi/lỗ của hoạt động bán, thanh lý bất động sản đầu tư</t>
  </si>
  <si>
    <t>99KQKD22</t>
  </si>
  <si>
    <t>7. Doanh thu hoạt động tài chính</t>
  </si>
  <si>
    <t>99KQKD23</t>
  </si>
  <si>
    <t>8. Chi phí tài chính</t>
  </si>
  <si>
    <t>99KQKD24</t>
  </si>
  <si>
    <t>Trong đó: Chi phí lãi vay</t>
  </si>
  <si>
    <t>99KQKD25</t>
  </si>
  <si>
    <t>9. Chi phí bán hàng</t>
  </si>
  <si>
    <t>99KQKD26</t>
  </si>
  <si>
    <t>10. Chi phí quản lý doanh nghiệp</t>
  </si>
  <si>
    <t>99KQKD27</t>
  </si>
  <si>
    <t>11.Phần lãi hoặc lỗ trong công ty liên doanh liên kết</t>
  </si>
  <si>
    <t>99KQKD30</t>
  </si>
  <si>
    <t>12. Lợi nhuận thuần từ hoạt động kinh doanh {30 = 20+21+ (22-23)-(25 + 26)+27}</t>
  </si>
  <si>
    <t>99KQKD31</t>
  </si>
  <si>
    <t>13. Thu nhập khác</t>
  </si>
  <si>
    <t>99KQKD32</t>
  </si>
  <si>
    <t>14. Chi phí khác</t>
  </si>
  <si>
    <t>99KQKD40</t>
  </si>
  <si>
    <t>15. Lợi nhuận khác (40 = 31 - 32)</t>
  </si>
  <si>
    <t>99KQKD50</t>
  </si>
  <si>
    <t>16. Tổng lợi nhuận kế toán trước thuế  (50 = 30 + 40)</t>
  </si>
  <si>
    <t>99KQKD51</t>
  </si>
  <si>
    <t>17. Chi phí thuế TNDN hiện hành</t>
  </si>
  <si>
    <t>99KQKD52</t>
  </si>
  <si>
    <t>18. Chi phí thuế TNDN hoãn lại</t>
  </si>
  <si>
    <t>99KQKD60</t>
  </si>
  <si>
    <t>19. Lợi nhuận sau thuế thu nhập doanh nghiệp  (60 = 50 - 51 - 52)</t>
  </si>
  <si>
    <t>99KQKD61</t>
  </si>
  <si>
    <t>20.Lợi nhuận sau thuế của công ty mẹ</t>
  </si>
  <si>
    <t>99KQKD62</t>
  </si>
  <si>
    <t>62</t>
  </si>
  <si>
    <t>21.Lợi nhuận sau thuế của cổ đông không kiểm soát</t>
  </si>
  <si>
    <t>99KQKD70</t>
  </si>
  <si>
    <t>22. Lãi cơ bản trên cổ phiếu (*)</t>
  </si>
  <si>
    <t>99KQKD71</t>
  </si>
  <si>
    <t>23.Lãi suy giảm trên cổ phiếu (*)</t>
  </si>
  <si>
    <t>99LCTTGTI</t>
  </si>
  <si>
    <t>99LCTTGT01</t>
  </si>
  <si>
    <t>1.Lợi nhuận trước thuế</t>
  </si>
  <si>
    <t>99LCTTGTI2</t>
  </si>
  <si>
    <t/>
  </si>
  <si>
    <t>99LCTTGT02</t>
  </si>
  <si>
    <t>-Khấu hao TSCĐ và BDSDT</t>
  </si>
  <si>
    <t>99LCTTGT03</t>
  </si>
  <si>
    <t>-Các khoản dự phòng</t>
  </si>
  <si>
    <t>99LCTTGT04</t>
  </si>
  <si>
    <t>-Lãi, lỗ chênh lệch tỷ giá hối đoái do đánh giá lại các khoản mục tiền tệ có gốc ngoại tệ</t>
  </si>
  <si>
    <t>99LCTTGT05</t>
  </si>
  <si>
    <t>-Lãi, lỗ từ hoạt động đầu tư, tài chính</t>
  </si>
  <si>
    <t>99LCTTGT06</t>
  </si>
  <si>
    <t>-Chi phí đi vay</t>
  </si>
  <si>
    <t>99LCTTGT07</t>
  </si>
  <si>
    <t>-Các khoản điều chỉnh khác</t>
  </si>
  <si>
    <t>99LCTTGT08</t>
  </si>
  <si>
    <t>99LCTTGT09</t>
  </si>
  <si>
    <t>Tăng, giảm Các khoản phải thu</t>
  </si>
  <si>
    <t>99LCTTGT10</t>
  </si>
  <si>
    <t>99LCTTGT11</t>
  </si>
  <si>
    <t>- Tăng, giảm Các khoản phải trả (Không kể lãi vay phải trả, thuế thu nhập doanh nghiệp phải nộp)-</t>
  </si>
  <si>
    <t>99LCTTGT12</t>
  </si>
  <si>
    <t>- Tăng, giảm Chi phí chờ phân bổ</t>
  </si>
  <si>
    <t>99LCTTGT13</t>
  </si>
  <si>
    <t>-Tăng, giảm chứng khoán kinh doanh</t>
  </si>
  <si>
    <t>99LCTTGT14</t>
  </si>
  <si>
    <t>- Chi phí đi vay đã trả</t>
  </si>
  <si>
    <t>99LCTTGT15</t>
  </si>
  <si>
    <t>- thuế thu nhập doanh nghiệp đã nộp</t>
  </si>
  <si>
    <t>99LCTTGT16</t>
  </si>
  <si>
    <t>99LCTTGT17</t>
  </si>
  <si>
    <t>- Tiền Chi khác cho hoạt động kinh doanh</t>
  </si>
  <si>
    <t>99LCTTGT20</t>
  </si>
  <si>
    <t>Lưu chuyển tiền thuần từ hoạt động kinh doanh(20=08+09+10+11+12+13+14+15+16+17)</t>
  </si>
  <si>
    <t>99LCTTGTII</t>
  </si>
  <si>
    <t>99LCTTGT21</t>
  </si>
  <si>
    <t>1.Tiền chi để mua sắm, xây dựng TSCĐ và các tài sản dài hạn khác</t>
  </si>
  <si>
    <t>99LCTTGT22</t>
  </si>
  <si>
    <t>2.Tiền thu từ thanh lý, nhượng bán TSCĐ và các tài sản dài hạn khác</t>
  </si>
  <si>
    <t>99LCTTGT23</t>
  </si>
  <si>
    <t>3.Tiền chi cho vay, mua các công cụ nợ của đơn vị khác</t>
  </si>
  <si>
    <t>99LCTTGT24</t>
  </si>
  <si>
    <t>4.Tiền thu hồi cho vay, bán lại các công cụ nợ của đơn vị khác</t>
  </si>
  <si>
    <t>99LCTTGT25</t>
  </si>
  <si>
    <t>5.Tiền chi đầu tư góp vốn vào đơn vị khác</t>
  </si>
  <si>
    <t>99LCTTGT26</t>
  </si>
  <si>
    <t>6.Tiền thu hồi đầu tư góp vốn vào đơn vị khác</t>
  </si>
  <si>
    <t>99LCTTGT27</t>
  </si>
  <si>
    <t>7.Tiền thu lãi cho vay, cổ tức và lợi nhuận được chia</t>
  </si>
  <si>
    <t>99LCTTGT30</t>
  </si>
  <si>
    <t>Lưu chuyển tiền thuần từ hoạt động đầu tư(30 = 21+22+23+24+25+26+27)</t>
  </si>
  <si>
    <t>99LCTTGTIII</t>
  </si>
  <si>
    <t>99LCTTGT31</t>
  </si>
  <si>
    <t>1.Tiền thu từ phát hành cổ phiếu, nhận vốn góp của chủ sở hữu</t>
  </si>
  <si>
    <t>99LCTTGT32</t>
  </si>
  <si>
    <t>2.Tiền trả lại vốn góp cho các chủ sở hữu, mua lại cổ phiếu đã phát hành</t>
  </si>
  <si>
    <t>99LCTTGT33</t>
  </si>
  <si>
    <t>3.Tiền thu từ đi vay</t>
  </si>
  <si>
    <t>99LCTTGT34</t>
  </si>
  <si>
    <t>4.Tiền trả nợ gốc vay</t>
  </si>
  <si>
    <t>99LCTTGT35</t>
  </si>
  <si>
    <t>5.Tiền trả nợ gốc thuê tài chính</t>
  </si>
  <si>
    <t>99LCTTGT36</t>
  </si>
  <si>
    <t>99LCTTGT40</t>
  </si>
  <si>
    <t>Lưu chuyển tiền thuần từ hoạt động tài chính(40= 31+32+33+34+35+36)</t>
  </si>
  <si>
    <t>99LCTTGT50</t>
  </si>
  <si>
    <t>99LCTTGT60</t>
  </si>
  <si>
    <t>99LCTTGT61</t>
  </si>
  <si>
    <t>99LCTTGT70</t>
  </si>
  <si>
    <t>99LCTTTTI</t>
  </si>
  <si>
    <t>99LCTTTT01</t>
  </si>
  <si>
    <t>99LCTTTT02</t>
  </si>
  <si>
    <t>99LCTTTT03</t>
  </si>
  <si>
    <t>99LCTTTT04</t>
  </si>
  <si>
    <t>4.  Chi phí đi vay đã trả</t>
  </si>
  <si>
    <t>99LCTTTT05</t>
  </si>
  <si>
    <t>99LCTTTT06</t>
  </si>
  <si>
    <t>99LCTTTT07</t>
  </si>
  <si>
    <t>99LCTTTT20</t>
  </si>
  <si>
    <t>99LCTTTTII</t>
  </si>
  <si>
    <t>99LCTTTT21</t>
  </si>
  <si>
    <t>99LCTTTT22</t>
  </si>
  <si>
    <t>99LCTTTT23</t>
  </si>
  <si>
    <t>99LCTTTT24</t>
  </si>
  <si>
    <t>99LCTTTT25</t>
  </si>
  <si>
    <t>99LCTTTT26</t>
  </si>
  <si>
    <t>99LCTTTT27</t>
  </si>
  <si>
    <t>99LCTTTT30</t>
  </si>
  <si>
    <t>99LCTTTTIII</t>
  </si>
  <si>
    <t>99LCTTTT31</t>
  </si>
  <si>
    <t>99LCTTTT32</t>
  </si>
  <si>
    <t xml:space="preserve">2. Tiền trả lại vốn góp cho các chủ sở hữu, mua lại cổ phiếu đã phát hành.
 </t>
  </si>
  <si>
    <t>99LCTTTT33</t>
  </si>
  <si>
    <t>3.  Tiền thu từ đi vay</t>
  </si>
  <si>
    <t>99LCTTTT34</t>
  </si>
  <si>
    <t>99LCTTTT35</t>
  </si>
  <si>
    <t>99LCTTTT36</t>
  </si>
  <si>
    <t>99LCTTTT40</t>
  </si>
  <si>
    <t>99LCTTTT50</t>
  </si>
  <si>
    <t>Lưu chuyển tiền thuần trong kỳ (50=20+30+40)</t>
  </si>
  <si>
    <t>99LCTTTT60</t>
  </si>
  <si>
    <t>99LCTTTT61</t>
  </si>
  <si>
    <t>99LCTTTT70</t>
  </si>
  <si>
    <t>Tiền và tương đương tiền cuối kỳ (70=50+60+61)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</si>
</sst>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8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</font>
    <font>
      <b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i/>
      <sz val="11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b/>
      <sz val="11"/>
      <color rgb="FFFF0000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DDDD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77">
    <xf numFmtId="0" fontId="0" fillId="0" borderId="0" xfId="0"/>
    <xf numFmtId="164" fontId="2" fillId="0" borderId="2" xfId="0" applyNumberFormat="1" applyFont="1" applyBorder="1" applyAlignment="1" applyProtection="1">
      <alignment vertical="top"/>
      <protection locked="0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164" fontId="2" fillId="0" borderId="3" xfId="0" applyNumberFormat="1" applyFont="1" applyBorder="1" applyAlignment="1" applyProtection="1">
      <alignment vertical="top"/>
      <protection locked="0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  <xf numFmtId="164" fontId="2" fillId="0" borderId="4" xfId="0" applyNumberFormat="1" applyFont="1" applyBorder="1" applyAlignment="1" applyProtection="1">
      <alignment vertical="top"/>
      <protection locked="0"/>
    </xf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7" xfId="0" applyFont="1" applyBorder="1"/>
    <xf numFmtId="0" fontId="9" fillId="0" borderId="8" xfId="0" applyFont="1" applyBorder="1"/>
    <xf numFmtId="0" fontId="12" fillId="0" borderId="0" xfId="0" applyFont="1"/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7" xfId="0" applyFont="1" applyBorder="1"/>
    <xf numFmtId="0" fontId="11" fillId="0" borderId="8" xfId="0" applyFont="1" applyBorder="1"/>
    <xf numFmtId="3" fontId="6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8" fillId="0" borderId="0" xfId="0" applyFont="1" applyAlignment="1">
      <alignment vertical="center" wrapText="1"/>
    </xf>
    <xf numFmtId="0" fontId="9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16" fillId="0" borderId="7" xfId="0" quotePrefix="1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/>
    </xf>
    <xf numFmtId="0" fontId="17" fillId="0" borderId="7" xfId="0" quotePrefix="1" applyFont="1" applyBorder="1" applyAlignment="1">
      <alignment horizontal="center" vertical="center"/>
    </xf>
    <xf numFmtId="0" fontId="16" fillId="0" borderId="7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6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8" xfId="0" applyFont="1" applyBorder="1" applyAlignment="1">
      <alignment vertical="center"/>
    </xf>
    <xf numFmtId="3" fontId="15" fillId="0" borderId="7" xfId="0" quotePrefix="1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center" vertical="center"/>
    </xf>
    <xf numFmtId="3" fontId="21" fillId="0" borderId="7" xfId="0" applyNumberFormat="1" applyFont="1" applyBorder="1" applyAlignment="1">
      <alignment horizontal="center" vertical="center"/>
    </xf>
    <xf numFmtId="3" fontId="21" fillId="0" borderId="7" xfId="0" quotePrefix="1" applyNumberFormat="1" applyFont="1" applyBorder="1" applyAlignment="1">
      <alignment horizontal="center" vertical="center"/>
    </xf>
    <xf numFmtId="3" fontId="22" fillId="0" borderId="7" xfId="0" applyNumberFormat="1" applyFont="1" applyBorder="1" applyAlignment="1">
      <alignment horizontal="center" vertical="center"/>
    </xf>
    <xf numFmtId="3" fontId="21" fillId="0" borderId="8" xfId="0" applyNumberFormat="1" applyFont="1" applyBorder="1" applyAlignment="1">
      <alignment horizontal="center" vertical="center"/>
    </xf>
    <xf numFmtId="3" fontId="17" fillId="0" borderId="7" xfId="0" quotePrefix="1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164" fontId="4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9" fillId="0" borderId="3" xfId="0" applyFont="1" applyBorder="1"/>
    <xf numFmtId="0" fontId="11" fillId="0" borderId="3" xfId="0" applyFont="1" applyBorder="1" applyAlignment="1">
      <alignment horizontal="center"/>
    </xf>
    <xf numFmtId="3" fontId="9" fillId="0" borderId="3" xfId="0" applyNumberFormat="1" applyFont="1" applyBorder="1"/>
    <xf numFmtId="0" fontId="11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3" fontId="9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49" fontId="11" fillId="0" borderId="3" xfId="0" applyNumberFormat="1" applyFont="1" applyBorder="1" applyAlignment="1">
      <alignment horizontal="left" vertical="center" wrapText="1"/>
    </xf>
    <xf numFmtId="3" fontId="9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9" fillId="0" borderId="4" xfId="0" applyFont="1" applyBorder="1"/>
    <xf numFmtId="0" fontId="11" fillId="0" borderId="4" xfId="0" applyFont="1" applyBorder="1" applyAlignment="1">
      <alignment horizontal="center"/>
    </xf>
    <xf numFmtId="3" fontId="9" fillId="0" borderId="4" xfId="0" applyNumberFormat="1" applyFont="1" applyBorder="1"/>
    <xf numFmtId="0" fontId="11" fillId="0" borderId="4" xfId="0" applyFont="1" applyBorder="1"/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vertical="center"/>
      <protection locked="0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 applyProtection="1">
      <alignment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1" fillId="0" borderId="9" xfId="0" applyFont="1" applyBorder="1" applyAlignment="1">
      <alignment vertical="center"/>
    </xf>
    <xf numFmtId="0" fontId="11" fillId="0" borderId="10" xfId="0" applyFont="1" applyBorder="1"/>
    <xf numFmtId="0" fontId="9" fillId="0" borderId="10" xfId="0" applyFont="1" applyBorder="1"/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3" fontId="9" fillId="0" borderId="4" xfId="0" applyNumberFormat="1" applyFont="1" applyBorder="1" applyAlignment="1">
      <alignment vertic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vertical="center"/>
    </xf>
    <xf numFmtId="49" fontId="9" fillId="0" borderId="10" xfId="0" applyNumberFormat="1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11" fillId="0" borderId="11" xfId="0" applyFont="1" applyBorder="1"/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21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1" fillId="0" borderId="7" xfId="0" applyFont="1" applyBorder="1" applyAlignment="1">
      <alignment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left" vertical="center"/>
    </xf>
    <xf numFmtId="0" fontId="21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5" fillId="0" borderId="0" xfId="0" applyFont="1" applyAlignment="1">
      <alignment horizontal="justify"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justify" vertical="center"/>
    </xf>
    <xf numFmtId="0" fontId="16" fillId="0" borderId="7" xfId="0" applyFont="1" applyBorder="1" applyAlignment="1">
      <alignment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3" fontId="4" fillId="0" borderId="12" xfId="0" applyNumberFormat="1" applyFont="1" applyBorder="1" applyAlignment="1" applyProtection="1">
      <alignment vertical="center"/>
      <protection locked="0"/>
    </xf>
    <xf numFmtId="3" fontId="4" fillId="0" borderId="3" xfId="0" applyNumberFormat="1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3" fontId="4" fillId="0" borderId="4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18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zoomScale="80" zoomScaleNormal="80" workbookViewId="0">
      <selection activeCell="H7" sqref="H7"/>
    </sheetView>
  </sheetViews>
  <sheetFormatPr defaultColWidth="9.140625" defaultRowHeight="15"/>
  <cols>
    <col min="1" max="1" width="13.7109375" style="12" bestFit="1" customWidth="1"/>
    <col min="2" max="2" width="7" style="31" bestFit="1" customWidth="1"/>
    <col min="3" max="3" width="21.85546875" style="20" bestFit="1" customWidth="1"/>
    <col min="4" max="4" width="22.7109375" style="20" bestFit="1" customWidth="1"/>
    <col min="5" max="5" width="44.7109375" style="12" bestFit="1" customWidth="1"/>
    <col min="6" max="6" width="9.140625" style="161"/>
    <col min="7" max="9" width="9.140625" style="15"/>
    <col min="10" max="16384" width="9.140625" style="12"/>
  </cols>
  <sheetData>
    <row r="1" spans="1:9" s="17" customFormat="1">
      <c r="A1" s="21" t="s">
        <v>0</v>
      </c>
      <c r="B1" s="21" t="s">
        <v>1</v>
      </c>
      <c r="C1" s="25" t="s">
        <v>2</v>
      </c>
      <c r="D1" s="25" t="s">
        <v>3</v>
      </c>
      <c r="E1" s="21" t="s">
        <v>4</v>
      </c>
      <c r="F1" s="160"/>
      <c r="G1" s="16"/>
      <c r="H1" s="16"/>
      <c r="I1" s="16"/>
    </row>
    <row r="2" spans="1:9" s="17" customFormat="1">
      <c r="A2" s="87" t="s">
        <v>5</v>
      </c>
      <c r="B2" s="88">
        <v>100</v>
      </c>
      <c r="C2" s="89"/>
      <c r="D2" s="89"/>
      <c r="E2" s="90" t="s">
        <v>6</v>
      </c>
      <c r="F2" s="160" t="s">
        <v>7</v>
      </c>
      <c r="G2" s="16"/>
      <c r="H2" s="16"/>
      <c r="I2" s="16"/>
    </row>
    <row r="3" spans="1:9">
      <c r="A3" s="91" t="s">
        <v>8</v>
      </c>
      <c r="B3" s="92">
        <v>110</v>
      </c>
      <c r="C3" s="93"/>
      <c r="D3" s="93"/>
      <c r="E3" s="94" t="s">
        <v>9</v>
      </c>
    </row>
    <row r="4" spans="1:9">
      <c r="A4" s="91" t="s">
        <v>10</v>
      </c>
      <c r="B4" s="92">
        <v>120</v>
      </c>
      <c r="C4" s="93"/>
      <c r="D4" s="93"/>
      <c r="E4" s="94" t="s">
        <v>11</v>
      </c>
      <c r="F4" s="161" t="s">
        <v>12</v>
      </c>
    </row>
    <row r="5" spans="1:9">
      <c r="A5" s="91" t="s">
        <v>13</v>
      </c>
      <c r="B5" s="95">
        <v>121</v>
      </c>
      <c r="C5" s="93"/>
      <c r="D5" s="93"/>
      <c r="E5" s="91" t="s">
        <v>14</v>
      </c>
    </row>
    <row r="6" spans="1:9">
      <c r="A6" s="91" t="s">
        <v>15</v>
      </c>
      <c r="B6" s="95">
        <v>122</v>
      </c>
      <c r="C6" s="93"/>
      <c r="D6" s="93"/>
      <c r="E6" s="91" t="s">
        <v>16</v>
      </c>
    </row>
    <row r="7" spans="1:9">
      <c r="A7" s="91" t="s">
        <v>17</v>
      </c>
      <c r="B7" s="95">
        <v>123</v>
      </c>
      <c r="C7" s="93"/>
      <c r="D7" s="93"/>
      <c r="E7" s="91" t="s">
        <v>18</v>
      </c>
    </row>
    <row r="8" spans="1:9">
      <c r="A8" s="96" t="s">
        <v>19</v>
      </c>
      <c r="B8" s="97">
        <v>130</v>
      </c>
      <c r="C8" s="98"/>
      <c r="D8" s="98"/>
      <c r="E8" s="99" t="s">
        <v>20</v>
      </c>
      <c r="F8" s="161" t="s">
        <v>21</v>
      </c>
    </row>
    <row r="9" spans="1:9">
      <c r="A9" s="91" t="s">
        <v>22</v>
      </c>
      <c r="B9" s="95">
        <v>131</v>
      </c>
      <c r="C9" s="93"/>
      <c r="D9" s="93"/>
      <c r="E9" s="91" t="s">
        <v>23</v>
      </c>
    </row>
    <row r="10" spans="1:9">
      <c r="A10" s="91" t="s">
        <v>24</v>
      </c>
      <c r="B10" s="95">
        <v>132</v>
      </c>
      <c r="C10" s="93"/>
      <c r="D10" s="93"/>
      <c r="E10" s="91" t="s">
        <v>25</v>
      </c>
    </row>
    <row r="11" spans="1:9">
      <c r="A11" s="91" t="s">
        <v>26</v>
      </c>
      <c r="B11" s="95">
        <v>133</v>
      </c>
      <c r="C11" s="93"/>
      <c r="D11" s="93"/>
      <c r="E11" s="91" t="s">
        <v>27</v>
      </c>
    </row>
    <row r="12" spans="1:9">
      <c r="A12" s="91" t="s">
        <v>28</v>
      </c>
      <c r="B12" s="95">
        <v>134</v>
      </c>
      <c r="C12" s="93"/>
      <c r="D12" s="93"/>
      <c r="E12" s="91" t="s">
        <v>29</v>
      </c>
    </row>
    <row r="13" spans="1:9">
      <c r="A13" s="91" t="s">
        <v>30</v>
      </c>
      <c r="B13" s="95">
        <v>135</v>
      </c>
      <c r="C13" s="93"/>
      <c r="D13" s="93"/>
      <c r="E13" s="91" t="s">
        <v>31</v>
      </c>
    </row>
    <row r="14" spans="1:9">
      <c r="A14" s="91" t="s">
        <v>32</v>
      </c>
      <c r="B14" s="92">
        <v>140</v>
      </c>
      <c r="C14" s="93"/>
      <c r="D14" s="93"/>
      <c r="E14" s="94" t="s">
        <v>33</v>
      </c>
      <c r="F14" s="161" t="s">
        <v>34</v>
      </c>
    </row>
    <row r="15" spans="1:9">
      <c r="A15" s="91" t="s">
        <v>35</v>
      </c>
      <c r="B15" s="95">
        <v>141</v>
      </c>
      <c r="C15" s="93"/>
      <c r="D15" s="93"/>
      <c r="E15" s="91" t="s">
        <v>33</v>
      </c>
    </row>
    <row r="16" spans="1:9">
      <c r="A16" s="91" t="s">
        <v>36</v>
      </c>
      <c r="B16" s="95">
        <v>142</v>
      </c>
      <c r="C16" s="93"/>
      <c r="D16" s="93"/>
      <c r="E16" s="91" t="s">
        <v>37</v>
      </c>
    </row>
    <row r="17" spans="1:9">
      <c r="A17" s="91" t="s">
        <v>38</v>
      </c>
      <c r="B17" s="92">
        <v>150</v>
      </c>
      <c r="C17" s="93"/>
      <c r="D17" s="93"/>
      <c r="E17" s="94" t="s">
        <v>39</v>
      </c>
      <c r="F17" s="161" t="s">
        <v>40</v>
      </c>
    </row>
    <row r="18" spans="1:9">
      <c r="A18" s="91" t="s">
        <v>41</v>
      </c>
      <c r="B18" s="95">
        <v>151</v>
      </c>
      <c r="C18" s="93"/>
      <c r="D18" s="93"/>
      <c r="E18" s="91" t="s">
        <v>42</v>
      </c>
    </row>
    <row r="19" spans="1:9">
      <c r="A19" s="91" t="s">
        <v>43</v>
      </c>
      <c r="B19" s="95">
        <v>152</v>
      </c>
      <c r="C19" s="93"/>
      <c r="D19" s="93"/>
      <c r="E19" s="91" t="s">
        <v>39</v>
      </c>
    </row>
    <row r="20" spans="1:9" s="17" customFormat="1">
      <c r="A20" s="96" t="s">
        <v>44</v>
      </c>
      <c r="B20" s="97">
        <v>200</v>
      </c>
      <c r="C20" s="98"/>
      <c r="D20" s="98"/>
      <c r="E20" s="99" t="s">
        <v>45</v>
      </c>
      <c r="F20" s="160" t="s">
        <v>46</v>
      </c>
      <c r="G20" s="16"/>
      <c r="H20" s="16"/>
      <c r="I20" s="16"/>
    </row>
    <row r="21" spans="1:9" s="17" customFormat="1">
      <c r="A21" s="96" t="s">
        <v>47</v>
      </c>
      <c r="B21" s="97">
        <v>210</v>
      </c>
      <c r="C21" s="98"/>
      <c r="D21" s="98"/>
      <c r="E21" s="99" t="s">
        <v>48</v>
      </c>
      <c r="F21" s="160" t="s">
        <v>49</v>
      </c>
      <c r="G21" s="16"/>
      <c r="H21" s="16"/>
      <c r="I21" s="16"/>
    </row>
    <row r="22" spans="1:9">
      <c r="A22" s="91" t="s">
        <v>50</v>
      </c>
      <c r="B22" s="95">
        <v>211</v>
      </c>
      <c r="C22" s="93"/>
      <c r="D22" s="93"/>
      <c r="E22" s="91" t="s">
        <v>51</v>
      </c>
    </row>
    <row r="23" spans="1:9">
      <c r="A23" s="91" t="s">
        <v>52</v>
      </c>
      <c r="B23" s="95">
        <v>212</v>
      </c>
      <c r="C23" s="93"/>
      <c r="D23" s="93"/>
      <c r="E23" s="91" t="s">
        <v>53</v>
      </c>
    </row>
    <row r="24" spans="1:9">
      <c r="A24" s="91" t="s">
        <v>54</v>
      </c>
      <c r="B24" s="95">
        <v>213</v>
      </c>
      <c r="C24" s="93"/>
      <c r="D24" s="93"/>
      <c r="E24" s="91" t="s">
        <v>55</v>
      </c>
    </row>
    <row r="25" spans="1:9">
      <c r="A25" s="91" t="s">
        <v>56</v>
      </c>
      <c r="B25" s="95">
        <v>214</v>
      </c>
      <c r="C25" s="93"/>
      <c r="D25" s="93"/>
      <c r="E25" s="91" t="s">
        <v>57</v>
      </c>
    </row>
    <row r="26" spans="1:9">
      <c r="A26" s="91" t="s">
        <v>58</v>
      </c>
      <c r="B26" s="95">
        <v>215</v>
      </c>
      <c r="C26" s="93"/>
      <c r="D26" s="93"/>
      <c r="E26" s="91" t="s">
        <v>59</v>
      </c>
    </row>
    <row r="27" spans="1:9">
      <c r="A27" s="91" t="s">
        <v>60</v>
      </c>
      <c r="B27" s="92">
        <v>220</v>
      </c>
      <c r="C27" s="93"/>
      <c r="D27" s="93"/>
      <c r="E27" s="94" t="s">
        <v>61</v>
      </c>
      <c r="F27" s="161" t="s">
        <v>62</v>
      </c>
    </row>
    <row r="28" spans="1:9">
      <c r="A28" s="91" t="s">
        <v>63</v>
      </c>
      <c r="B28" s="95">
        <v>221</v>
      </c>
      <c r="C28" s="93"/>
      <c r="D28" s="93"/>
      <c r="E28" s="91" t="s">
        <v>64</v>
      </c>
    </row>
    <row r="29" spans="1:9">
      <c r="A29" s="91" t="s">
        <v>65</v>
      </c>
      <c r="B29" s="95">
        <v>222</v>
      </c>
      <c r="C29" s="93"/>
      <c r="D29" s="93"/>
      <c r="E29" s="91" t="s">
        <v>66</v>
      </c>
    </row>
    <row r="30" spans="1:9">
      <c r="A30" s="91" t="s">
        <v>67</v>
      </c>
      <c r="B30" s="92">
        <v>230</v>
      </c>
      <c r="C30" s="93"/>
      <c r="D30" s="93"/>
      <c r="E30" s="94" t="s">
        <v>68</v>
      </c>
      <c r="F30" s="161" t="s">
        <v>69</v>
      </c>
    </row>
    <row r="31" spans="1:9">
      <c r="A31" s="91" t="s">
        <v>70</v>
      </c>
      <c r="B31" s="95">
        <v>231</v>
      </c>
      <c r="C31" s="93"/>
      <c r="D31" s="93"/>
      <c r="E31" s="91" t="s">
        <v>64</v>
      </c>
    </row>
    <row r="32" spans="1:9">
      <c r="A32" s="91" t="s">
        <v>71</v>
      </c>
      <c r="B32" s="95">
        <v>232</v>
      </c>
      <c r="C32" s="93"/>
      <c r="D32" s="93"/>
      <c r="E32" s="91" t="s">
        <v>66</v>
      </c>
    </row>
    <row r="33" spans="1:9">
      <c r="A33" s="91" t="s">
        <v>72</v>
      </c>
      <c r="B33" s="92">
        <v>240</v>
      </c>
      <c r="C33" s="93"/>
      <c r="D33" s="93"/>
      <c r="E33" s="94" t="s">
        <v>73</v>
      </c>
    </row>
    <row r="34" spans="1:9">
      <c r="A34" s="91" t="s">
        <v>74</v>
      </c>
      <c r="B34" s="92">
        <v>250</v>
      </c>
      <c r="C34" s="93"/>
      <c r="D34" s="93"/>
      <c r="E34" s="94" t="s">
        <v>75</v>
      </c>
      <c r="F34" s="161" t="s">
        <v>76</v>
      </c>
    </row>
    <row r="35" spans="1:9">
      <c r="A35" s="91" t="s">
        <v>77</v>
      </c>
      <c r="B35" s="95">
        <v>251</v>
      </c>
      <c r="C35" s="93"/>
      <c r="D35" s="93"/>
      <c r="E35" s="91" t="s">
        <v>78</v>
      </c>
    </row>
    <row r="36" spans="1:9">
      <c r="A36" s="91" t="s">
        <v>79</v>
      </c>
      <c r="B36" s="95">
        <v>252</v>
      </c>
      <c r="C36" s="93"/>
      <c r="D36" s="93"/>
      <c r="E36" s="91" t="s">
        <v>80</v>
      </c>
    </row>
    <row r="37" spans="1:9">
      <c r="A37" s="91" t="s">
        <v>81</v>
      </c>
      <c r="B37" s="95">
        <v>253</v>
      </c>
      <c r="C37" s="93"/>
      <c r="D37" s="93"/>
      <c r="E37" s="91" t="s">
        <v>82</v>
      </c>
    </row>
    <row r="38" spans="1:9">
      <c r="A38" s="91" t="s">
        <v>83</v>
      </c>
      <c r="B38" s="92">
        <v>260</v>
      </c>
      <c r="C38" s="93"/>
      <c r="D38" s="93"/>
      <c r="E38" s="94" t="s">
        <v>84</v>
      </c>
    </row>
    <row r="39" spans="1:9">
      <c r="A39" s="91" t="s">
        <v>85</v>
      </c>
      <c r="B39" s="92">
        <v>300</v>
      </c>
      <c r="C39" s="93"/>
      <c r="D39" s="93"/>
      <c r="E39" s="94" t="s">
        <v>86</v>
      </c>
      <c r="F39" s="161" t="s">
        <v>87</v>
      </c>
    </row>
    <row r="40" spans="1:9">
      <c r="A40" s="91" t="s">
        <v>88</v>
      </c>
      <c r="B40" s="100">
        <v>400</v>
      </c>
      <c r="C40" s="93"/>
      <c r="D40" s="93"/>
      <c r="E40" s="101" t="s">
        <v>89</v>
      </c>
      <c r="F40" s="161" t="s">
        <v>90</v>
      </c>
    </row>
    <row r="41" spans="1:9" s="17" customFormat="1">
      <c r="A41" s="96" t="s">
        <v>91</v>
      </c>
      <c r="B41" s="97">
        <v>410</v>
      </c>
      <c r="C41" s="98"/>
      <c r="D41" s="98"/>
      <c r="E41" s="99" t="s">
        <v>92</v>
      </c>
      <c r="F41" s="160" t="s">
        <v>93</v>
      </c>
      <c r="G41" s="16"/>
      <c r="H41" s="16"/>
      <c r="I41" s="16"/>
    </row>
    <row r="42" spans="1:9">
      <c r="A42" s="91" t="s">
        <v>94</v>
      </c>
      <c r="B42" s="95">
        <v>411</v>
      </c>
      <c r="C42" s="93"/>
      <c r="D42" s="93"/>
      <c r="E42" s="91" t="s">
        <v>95</v>
      </c>
    </row>
    <row r="43" spans="1:9">
      <c r="A43" s="91" t="s">
        <v>96</v>
      </c>
      <c r="B43" s="95">
        <v>412</v>
      </c>
      <c r="C43" s="93"/>
      <c r="D43" s="93"/>
      <c r="E43" s="91" t="s">
        <v>97</v>
      </c>
    </row>
    <row r="44" spans="1:9">
      <c r="A44" s="91" t="s">
        <v>98</v>
      </c>
      <c r="B44" s="95">
        <v>413</v>
      </c>
      <c r="C44" s="93"/>
      <c r="D44" s="93"/>
      <c r="E44" s="91" t="s">
        <v>99</v>
      </c>
    </row>
    <row r="45" spans="1:9">
      <c r="A45" s="91" t="s">
        <v>100</v>
      </c>
      <c r="B45" s="95">
        <v>414</v>
      </c>
      <c r="C45" s="93"/>
      <c r="D45" s="93"/>
      <c r="E45" s="91" t="s">
        <v>101</v>
      </c>
    </row>
    <row r="46" spans="1:9">
      <c r="A46" s="91" t="s">
        <v>102</v>
      </c>
      <c r="B46" s="95">
        <v>415</v>
      </c>
      <c r="C46" s="93"/>
      <c r="D46" s="93"/>
      <c r="E46" s="91" t="s">
        <v>103</v>
      </c>
    </row>
    <row r="47" spans="1:9">
      <c r="A47" s="91" t="s">
        <v>104</v>
      </c>
      <c r="B47" s="95">
        <v>416</v>
      </c>
      <c r="C47" s="93"/>
      <c r="D47" s="93"/>
      <c r="E47" s="91" t="s">
        <v>105</v>
      </c>
    </row>
    <row r="48" spans="1:9">
      <c r="A48" s="91" t="s">
        <v>106</v>
      </c>
      <c r="B48" s="95">
        <v>417</v>
      </c>
      <c r="C48" s="93"/>
      <c r="D48" s="93"/>
      <c r="E48" s="91" t="s">
        <v>107</v>
      </c>
    </row>
    <row r="49" spans="1:9">
      <c r="A49" s="91" t="s">
        <v>108</v>
      </c>
      <c r="B49" s="95">
        <v>418</v>
      </c>
      <c r="C49" s="93"/>
      <c r="D49" s="93"/>
      <c r="E49" s="91" t="s">
        <v>109</v>
      </c>
    </row>
    <row r="50" spans="1:9" s="17" customFormat="1">
      <c r="A50" s="96" t="s">
        <v>110</v>
      </c>
      <c r="B50" s="97">
        <v>420</v>
      </c>
      <c r="C50" s="98"/>
      <c r="D50" s="98"/>
      <c r="E50" s="99" t="s">
        <v>111</v>
      </c>
      <c r="F50" s="160" t="s">
        <v>112</v>
      </c>
      <c r="G50" s="16"/>
      <c r="H50" s="16"/>
      <c r="I50" s="16"/>
    </row>
    <row r="51" spans="1:9">
      <c r="A51" s="91" t="s">
        <v>113</v>
      </c>
      <c r="B51" s="95">
        <v>421</v>
      </c>
      <c r="C51" s="93"/>
      <c r="D51" s="93"/>
      <c r="E51" s="91" t="s">
        <v>114</v>
      </c>
    </row>
    <row r="52" spans="1:9">
      <c r="A52" s="91" t="s">
        <v>115</v>
      </c>
      <c r="B52" s="95">
        <v>422</v>
      </c>
      <c r="C52" s="93"/>
      <c r="D52" s="93"/>
      <c r="E52" s="91" t="s">
        <v>116</v>
      </c>
    </row>
    <row r="53" spans="1:9">
      <c r="A53" s="91" t="s">
        <v>117</v>
      </c>
      <c r="B53" s="95">
        <v>423</v>
      </c>
      <c r="C53" s="93"/>
      <c r="D53" s="93"/>
      <c r="E53" s="91" t="s">
        <v>118</v>
      </c>
    </row>
    <row r="54" spans="1:9">
      <c r="A54" s="91" t="s">
        <v>119</v>
      </c>
      <c r="B54" s="95">
        <v>424</v>
      </c>
      <c r="C54" s="93"/>
      <c r="D54" s="93"/>
      <c r="E54" s="91" t="s">
        <v>120</v>
      </c>
    </row>
    <row r="55" spans="1:9">
      <c r="A55" s="91" t="s">
        <v>121</v>
      </c>
      <c r="B55" s="95">
        <v>425</v>
      </c>
      <c r="C55" s="93"/>
      <c r="D55" s="93"/>
      <c r="E55" s="91" t="s">
        <v>122</v>
      </c>
    </row>
    <row r="56" spans="1:9">
      <c r="A56" s="91" t="s">
        <v>123</v>
      </c>
      <c r="B56" s="95">
        <v>426</v>
      </c>
      <c r="C56" s="93"/>
      <c r="D56" s="93"/>
      <c r="E56" s="91" t="s">
        <v>124</v>
      </c>
    </row>
    <row r="57" spans="1:9">
      <c r="A57" s="91" t="s">
        <v>125</v>
      </c>
      <c r="B57" s="95">
        <v>427</v>
      </c>
      <c r="C57" s="93"/>
      <c r="D57" s="93"/>
      <c r="E57" s="91" t="s">
        <v>126</v>
      </c>
    </row>
    <row r="58" spans="1:9" s="19" customFormat="1">
      <c r="A58" s="96" t="s">
        <v>127</v>
      </c>
      <c r="B58" s="97">
        <v>500</v>
      </c>
      <c r="C58" s="102"/>
      <c r="D58" s="102"/>
      <c r="E58" s="103" t="s">
        <v>128</v>
      </c>
      <c r="F58" s="162" t="s">
        <v>129</v>
      </c>
      <c r="G58" s="18"/>
      <c r="H58" s="18"/>
      <c r="I58" s="18"/>
    </row>
    <row r="59" spans="1:9">
      <c r="A59" s="91" t="s">
        <v>130</v>
      </c>
      <c r="B59" s="95">
        <v>511</v>
      </c>
      <c r="C59" s="93"/>
      <c r="D59" s="93"/>
      <c r="E59" s="91" t="s">
        <v>131</v>
      </c>
    </row>
    <row r="60" spans="1:9">
      <c r="A60" s="91" t="s">
        <v>132</v>
      </c>
      <c r="B60" s="95">
        <v>512</v>
      </c>
      <c r="C60" s="93"/>
      <c r="D60" s="93"/>
      <c r="E60" s="91" t="s">
        <v>133</v>
      </c>
    </row>
    <row r="61" spans="1:9">
      <c r="A61" s="91" t="s">
        <v>134</v>
      </c>
      <c r="B61" s="95">
        <v>513</v>
      </c>
      <c r="C61" s="93"/>
      <c r="D61" s="93"/>
      <c r="E61" s="91" t="s">
        <v>135</v>
      </c>
    </row>
    <row r="62" spans="1:9">
      <c r="A62" s="91" t="s">
        <v>136</v>
      </c>
      <c r="B62" s="95">
        <v>514</v>
      </c>
      <c r="C62" s="93"/>
      <c r="D62" s="93"/>
      <c r="E62" s="91" t="s">
        <v>137</v>
      </c>
    </row>
    <row r="63" spans="1:9">
      <c r="A63" s="91" t="s">
        <v>138</v>
      </c>
      <c r="B63" s="95">
        <v>515</v>
      </c>
      <c r="C63" s="93"/>
      <c r="D63" s="93"/>
      <c r="E63" s="91" t="s">
        <v>139</v>
      </c>
    </row>
    <row r="64" spans="1:9">
      <c r="A64" s="91" t="s">
        <v>140</v>
      </c>
      <c r="B64" s="95">
        <v>516</v>
      </c>
      <c r="C64" s="93"/>
      <c r="D64" s="93"/>
      <c r="E64" s="91" t="s">
        <v>141</v>
      </c>
    </row>
    <row r="65" spans="1:6">
      <c r="A65" s="91" t="s">
        <v>142</v>
      </c>
      <c r="B65" s="95">
        <v>517</v>
      </c>
      <c r="C65" s="93"/>
      <c r="D65" s="93"/>
      <c r="E65" s="91" t="s">
        <v>143</v>
      </c>
    </row>
    <row r="66" spans="1:6">
      <c r="A66" s="104" t="s">
        <v>144</v>
      </c>
      <c r="B66" s="105">
        <v>600</v>
      </c>
      <c r="C66" s="106"/>
      <c r="D66" s="106"/>
      <c r="E66" s="107" t="s">
        <v>145</v>
      </c>
      <c r="F66" s="161" t="s">
        <v>146</v>
      </c>
    </row>
  </sheetData>
  <conditionalFormatting sqref="A2:E2">
    <cfRule type="expression" dxfId="185" priority="56">
      <formula>OR(#REF!&lt;&gt;0,#REF!&lt;&gt;0)</formula>
    </cfRule>
  </conditionalFormatting>
  <conditionalFormatting sqref="A4:E4">
    <cfRule type="expression" dxfId="184" priority="58">
      <formula>OR(#REF!&lt;&gt;0,#REF!&lt;&gt;0)</formula>
    </cfRule>
  </conditionalFormatting>
  <conditionalFormatting sqref="A6:E6">
    <cfRule type="expression" dxfId="183" priority="60">
      <formula>OR(#REF!&lt;&gt;0,#REF!&lt;&gt;0)</formula>
    </cfRule>
  </conditionalFormatting>
  <conditionalFormatting sqref="A8:E8">
    <cfRule type="expression" dxfId="182" priority="62">
      <formula>OR(#REF!&lt;&gt;0,#REF!&lt;&gt;0)</formula>
    </cfRule>
  </conditionalFormatting>
  <conditionalFormatting sqref="A13:E13">
    <cfRule type="expression" dxfId="181" priority="64">
      <formula>OR(#REF!&lt;&gt;0,#REF!&lt;&gt;0)</formula>
    </cfRule>
  </conditionalFormatting>
  <conditionalFormatting sqref="A14:E14">
    <cfRule type="expression" dxfId="180" priority="66">
      <formula>OR(#REF!&lt;&gt;0,#REF!&lt;&gt;0)</formula>
    </cfRule>
  </conditionalFormatting>
  <conditionalFormatting sqref="A16:E16">
    <cfRule type="expression" dxfId="179" priority="68">
      <formula>OR(#REF!&lt;&gt;0,#REF!&lt;&gt;0)</formula>
    </cfRule>
  </conditionalFormatting>
  <conditionalFormatting sqref="A17:E17">
    <cfRule type="expression" dxfId="178" priority="70">
      <formula>OR(#REF!&lt;&gt;0,#REF!&lt;&gt;0)</formula>
    </cfRule>
  </conditionalFormatting>
  <conditionalFormatting sqref="A20:E20">
    <cfRule type="expression" dxfId="177" priority="72">
      <formula>OR(#REF!&lt;&gt;0,#REF!&lt;&gt;0)</formula>
    </cfRule>
  </conditionalFormatting>
  <conditionalFormatting sqref="A21:E21">
    <cfRule type="expression" dxfId="176" priority="74">
      <formula>OR(#REF!&lt;&gt;0,#REF!&lt;&gt;0)</formula>
    </cfRule>
  </conditionalFormatting>
  <conditionalFormatting sqref="A26:E26">
    <cfRule type="expression" dxfId="175" priority="76">
      <formula>OR(#REF!&lt;&gt;0,#REF!&lt;&gt;0)</formula>
    </cfRule>
  </conditionalFormatting>
  <conditionalFormatting sqref="A27:E27">
    <cfRule type="expression" dxfId="174" priority="78">
      <formula>OR(#REF!&lt;&gt;0,#REF!&lt;&gt;0)</formula>
    </cfRule>
  </conditionalFormatting>
  <conditionalFormatting sqref="A29:E29">
    <cfRule type="expression" dxfId="173" priority="80">
      <formula>OR(#REF!&lt;&gt;0,#REF!&lt;&gt;0)</formula>
    </cfRule>
  </conditionalFormatting>
  <conditionalFormatting sqref="A30:E30">
    <cfRule type="expression" dxfId="172" priority="82">
      <formula>OR(#REF!&lt;&gt;0,#REF!&lt;&gt;0)</formula>
    </cfRule>
  </conditionalFormatting>
  <conditionalFormatting sqref="A32:E32">
    <cfRule type="expression" dxfId="171" priority="84">
      <formula>OR(#REF!&lt;&gt;0,#REF!&lt;&gt;0)</formula>
    </cfRule>
  </conditionalFormatting>
  <conditionalFormatting sqref="A34:E34">
    <cfRule type="expression" dxfId="170" priority="86">
      <formula>OR(#REF!&lt;&gt;0,#REF!&lt;&gt;0)</formula>
    </cfRule>
  </conditionalFormatting>
  <conditionalFormatting sqref="A36:E36">
    <cfRule type="expression" dxfId="169" priority="88">
      <formula>OR(#REF!&lt;&gt;0,#REF!&lt;&gt;0)</formula>
    </cfRule>
  </conditionalFormatting>
  <conditionalFormatting sqref="A39:E39">
    <cfRule type="expression" dxfId="168" priority="90">
      <formula>OR(#REF!&lt;&gt;0,#REF!&lt;&gt;0)</formula>
    </cfRule>
  </conditionalFormatting>
  <conditionalFormatting sqref="A40:E40">
    <cfRule type="expression" dxfId="167" priority="92">
      <formula>OR(#REF!&lt;&gt;0,#REF!&lt;&gt;0)</formula>
    </cfRule>
  </conditionalFormatting>
  <conditionalFormatting sqref="A41:E41">
    <cfRule type="expression" dxfId="166" priority="94">
      <formula>OR(#REF!&lt;&gt;0,#REF!&lt;&gt;0)</formula>
    </cfRule>
  </conditionalFormatting>
  <conditionalFormatting sqref="A50:E50">
    <cfRule type="expression" dxfId="165" priority="96">
      <formula>OR(#REF!&lt;&gt;0,#REF!&lt;&gt;0)</formula>
    </cfRule>
  </conditionalFormatting>
  <conditionalFormatting sqref="A58:E58">
    <cfRule type="expression" dxfId="164" priority="98">
      <formula>OR(#REF!&lt;&gt;0,#REF!&lt;&gt;0)</formula>
    </cfRule>
  </conditionalFormatting>
  <conditionalFormatting sqref="A62:E62">
    <cfRule type="expression" dxfId="163" priority="100">
      <formula>OR(#REF!&lt;&gt;0,#REF!&lt;&gt;0)</formula>
    </cfRule>
  </conditionalFormatting>
  <conditionalFormatting sqref="A66:E66">
    <cfRule type="expression" dxfId="162" priority="102">
      <formula>OR(#REF!&lt;&gt;0,#REF!&lt;&gt;0)</formula>
    </cfRule>
  </conditionalFormatting>
  <conditionalFormatting sqref="A28:E28">
    <cfRule type="expression" dxfId="161" priority="104">
      <formula>OR(#REF!&lt;&gt;0,#REF!&lt;&gt;0)</formula>
    </cfRule>
  </conditionalFormatting>
  <conditionalFormatting sqref="A31:E31">
    <cfRule type="expression" dxfId="160" priority="106">
      <formula>OR(#REF!&lt;&gt;0,#REF!&lt;&gt;0)</formula>
    </cfRule>
  </conditionalFormatting>
  <conditionalFormatting sqref="A66:E66 A39:E39">
    <cfRule type="expression" dxfId="159" priority="134">
      <formula>OR(#REF!&lt;&gt;0,#REF!&lt;&gt;0)</formula>
    </cfRule>
  </conditionalFormatting>
  <dataValidations count="1">
    <dataValidation type="decimal" operator="notEqual" allowBlank="1" showInputMessage="1" showErrorMessage="1" sqref="C2:D66" xr:uid="{00000000-0002-0000-0000-000000000000}">
      <formula1>-9.99999999999999E+36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tabSelected="1" zoomScale="90" zoomScaleNormal="90" workbookViewId="0">
      <selection activeCell="E20" sqref="E20"/>
    </sheetView>
  </sheetViews>
  <sheetFormatPr defaultColWidth="9.140625" defaultRowHeight="15"/>
  <cols>
    <col min="1" max="1" width="12.28515625" style="12" bestFit="1" customWidth="1"/>
    <col min="2" max="2" width="4.140625" style="31" bestFit="1" customWidth="1"/>
    <col min="3" max="3" width="13.5703125" style="12" bestFit="1" customWidth="1"/>
    <col min="4" max="4" width="16.5703125" style="12" bestFit="1" customWidth="1"/>
    <col min="5" max="5" width="63.28515625" style="12" customWidth="1"/>
    <col min="6" max="6" width="102" style="15" bestFit="1" customWidth="1"/>
    <col min="7" max="7" width="45" style="15" bestFit="1" customWidth="1"/>
    <col min="8" max="8" width="36" style="15" bestFit="1" customWidth="1"/>
    <col min="9" max="11" width="9.140625" style="15"/>
    <col min="12" max="12" width="45" style="15" bestFit="1" customWidth="1"/>
    <col min="13" max="15" width="9.140625" style="15"/>
    <col min="16" max="17" width="9.140625" style="12"/>
    <col min="18" max="18" width="14.85546875" style="12" bestFit="1" customWidth="1"/>
    <col min="19" max="16384" width="9.140625" style="12"/>
  </cols>
  <sheetData>
    <row r="1" spans="1:17" ht="28.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G1" s="15" t="s">
        <v>147</v>
      </c>
      <c r="L1" s="15" t="s">
        <v>4</v>
      </c>
      <c r="P1" s="22"/>
      <c r="Q1" s="22"/>
    </row>
    <row r="2" spans="1:17">
      <c r="A2" s="13" t="s">
        <v>148</v>
      </c>
      <c r="B2" s="28" t="s">
        <v>149</v>
      </c>
      <c r="C2" s="13"/>
      <c r="D2" s="13"/>
      <c r="E2" s="13" t="s">
        <v>150</v>
      </c>
      <c r="L2" s="15" t="s">
        <v>151</v>
      </c>
      <c r="P2" s="22"/>
      <c r="Q2" s="22"/>
    </row>
    <row r="3" spans="1:17">
      <c r="A3" s="13" t="s">
        <v>152</v>
      </c>
      <c r="B3" s="28" t="s">
        <v>153</v>
      </c>
      <c r="C3" s="13"/>
      <c r="D3" s="13"/>
      <c r="E3" s="13" t="s">
        <v>154</v>
      </c>
      <c r="L3" s="15" t="s">
        <v>155</v>
      </c>
      <c r="P3" s="22"/>
      <c r="Q3" s="22"/>
    </row>
    <row r="4" spans="1:17">
      <c r="A4" s="13" t="s">
        <v>156</v>
      </c>
      <c r="B4" s="29">
        <v>10</v>
      </c>
      <c r="C4" s="13"/>
      <c r="D4" s="13"/>
      <c r="E4" s="23" t="s">
        <v>157</v>
      </c>
      <c r="F4" s="15" t="str">
        <f>"Chỉ tiêu "&amp;$G4&amp;" Năm trước "&amp;$G$1</f>
        <v>Chỉ tiêu Doanh thu thuần về bán hàng và cung cấp dịch vụ Năm trước chưa cân đối. Xem số chênh lệch bên dưới.</v>
      </c>
      <c r="G4" s="15" t="s">
        <v>158</v>
      </c>
      <c r="L4" s="15" t="s">
        <v>158</v>
      </c>
      <c r="P4" s="22"/>
      <c r="Q4" s="22"/>
    </row>
    <row r="5" spans="1:17">
      <c r="A5" s="13" t="s">
        <v>159</v>
      </c>
      <c r="B5" s="28">
        <v>11</v>
      </c>
      <c r="C5" s="13"/>
      <c r="D5" s="13"/>
      <c r="E5" s="13" t="s">
        <v>160</v>
      </c>
      <c r="L5" s="15" t="s">
        <v>161</v>
      </c>
      <c r="P5" s="22"/>
      <c r="Q5" s="22"/>
    </row>
    <row r="6" spans="1:17">
      <c r="A6" s="13" t="s">
        <v>162</v>
      </c>
      <c r="B6" s="29">
        <v>20</v>
      </c>
      <c r="C6" s="13"/>
      <c r="D6" s="13"/>
      <c r="E6" s="23" t="s">
        <v>163</v>
      </c>
      <c r="F6" s="15" t="str">
        <f>"Chỉ tiêu "&amp;$G6&amp;" Năm trước "&amp;$G$1</f>
        <v>Chỉ tiêu Lợi nhuận gộp về bán hàng và cung cấp dịch vụ Năm trước chưa cân đối. Xem số chênh lệch bên dưới.</v>
      </c>
      <c r="G6" s="15" t="s">
        <v>164</v>
      </c>
      <c r="L6" s="15" t="s">
        <v>164</v>
      </c>
      <c r="P6" s="22"/>
      <c r="Q6" s="22"/>
    </row>
    <row r="7" spans="1:17">
      <c r="A7" s="13" t="s">
        <v>165</v>
      </c>
      <c r="B7" s="28">
        <v>21</v>
      </c>
      <c r="C7" s="13"/>
      <c r="D7" s="13"/>
      <c r="E7" s="13" t="s">
        <v>166</v>
      </c>
      <c r="L7" s="15" t="s">
        <v>167</v>
      </c>
      <c r="P7" s="22"/>
      <c r="Q7" s="22"/>
    </row>
    <row r="8" spans="1:17">
      <c r="A8" s="13" t="s">
        <v>168</v>
      </c>
      <c r="B8" s="28">
        <v>22</v>
      </c>
      <c r="C8" s="13"/>
      <c r="D8" s="13"/>
      <c r="E8" s="13" t="s">
        <v>169</v>
      </c>
      <c r="F8" s="15" t="str">
        <f>"Chỉ tiêu "&amp;$G8&amp;" Năm trước "&amp;$G$1</f>
        <v>Chỉ tiêu Lợi nhuận thuần từ hoạt động kinh doanh Năm trước chưa cân đối. Xem số chênh lệch bên dưới.</v>
      </c>
      <c r="G8" s="15" t="s">
        <v>170</v>
      </c>
      <c r="L8" s="15" t="s">
        <v>171</v>
      </c>
      <c r="P8" s="22"/>
      <c r="Q8" s="22"/>
    </row>
    <row r="9" spans="1:17">
      <c r="A9" s="13" t="s">
        <v>172</v>
      </c>
      <c r="B9" s="28">
        <v>23</v>
      </c>
      <c r="C9" s="13"/>
      <c r="D9" s="13"/>
      <c r="E9" s="13" t="s">
        <v>173</v>
      </c>
      <c r="L9" s="15" t="s">
        <v>173</v>
      </c>
      <c r="P9" s="22"/>
      <c r="Q9" s="22"/>
    </row>
    <row r="10" spans="1:17">
      <c r="A10" s="13" t="s">
        <v>174</v>
      </c>
      <c r="B10" s="28">
        <v>24</v>
      </c>
      <c r="C10" s="13"/>
      <c r="D10" s="13"/>
      <c r="E10" s="13" t="s">
        <v>175</v>
      </c>
      <c r="L10" s="15" t="s">
        <v>176</v>
      </c>
      <c r="P10" s="22"/>
      <c r="Q10" s="22"/>
    </row>
    <row r="11" spans="1:17">
      <c r="A11" s="13" t="s">
        <v>177</v>
      </c>
      <c r="B11" s="29">
        <v>30</v>
      </c>
      <c r="C11" s="13"/>
      <c r="D11" s="13"/>
      <c r="E11" s="23" t="s">
        <v>178</v>
      </c>
      <c r="F11" s="15" t="str">
        <f>"Chỉ tiêu "&amp;$G11&amp;" Năm trước "&amp;$G$1</f>
        <v>Chỉ tiêu Lợi nhuận khác Năm trước chưa cân đối. Xem số chênh lệch bên dưới.</v>
      </c>
      <c r="G11" s="15" t="s">
        <v>179</v>
      </c>
      <c r="L11" s="15" t="s">
        <v>170</v>
      </c>
      <c r="P11" s="22"/>
      <c r="Q11" s="22"/>
    </row>
    <row r="12" spans="1:17">
      <c r="A12" s="13" t="s">
        <v>180</v>
      </c>
      <c r="B12" s="28">
        <v>31</v>
      </c>
      <c r="C12" s="13"/>
      <c r="D12" s="13"/>
      <c r="E12" s="13" t="s">
        <v>181</v>
      </c>
      <c r="F12" s="15" t="str">
        <f>"Chỉ tiêu "&amp;$G12&amp;" Năm trước "&amp;$G$1</f>
        <v>Chỉ tiêu Tổng lợi nhuận kế toán trước thuế Năm trước chưa cân đối. Xem số chênh lệch bên dưới.</v>
      </c>
      <c r="G12" s="15" t="s">
        <v>182</v>
      </c>
      <c r="L12" s="15" t="s">
        <v>183</v>
      </c>
      <c r="P12" s="22"/>
      <c r="Q12" s="22"/>
    </row>
    <row r="13" spans="1:17">
      <c r="A13" s="13" t="s">
        <v>184</v>
      </c>
      <c r="B13" s="28">
        <v>32</v>
      </c>
      <c r="C13" s="13"/>
      <c r="D13" s="13"/>
      <c r="E13" s="13" t="s">
        <v>185</v>
      </c>
      <c r="L13" s="15" t="s">
        <v>186</v>
      </c>
      <c r="P13" s="22"/>
      <c r="Q13" s="22"/>
    </row>
    <row r="14" spans="1:17">
      <c r="A14" s="13" t="s">
        <v>187</v>
      </c>
      <c r="B14" s="29">
        <v>40</v>
      </c>
      <c r="C14" s="13"/>
      <c r="D14" s="13"/>
      <c r="E14" s="23" t="s">
        <v>188</v>
      </c>
      <c r="F14" s="15" t="str">
        <f>"Chỉ tiêu "&amp;$G14&amp;" Năm trước "&amp;$G$1</f>
        <v>Chỉ tiêu Lợi nhuận sau thuế thu nhập doanh nghiệp Năm trước chưa cân đối. Xem số chênh lệch bên dưới.</v>
      </c>
      <c r="G14" s="15" t="s">
        <v>189</v>
      </c>
      <c r="L14" s="15" t="s">
        <v>179</v>
      </c>
      <c r="P14" s="22"/>
      <c r="Q14" s="22"/>
    </row>
    <row r="15" spans="1:17">
      <c r="A15" s="13" t="s">
        <v>190</v>
      </c>
      <c r="B15" s="29">
        <v>50</v>
      </c>
      <c r="C15" s="13"/>
      <c r="D15" s="13"/>
      <c r="E15" s="23" t="s">
        <v>191</v>
      </c>
      <c r="F15" s="26" t="s">
        <v>192</v>
      </c>
      <c r="G15" s="26"/>
      <c r="H15" s="26"/>
      <c r="I15" s="26"/>
      <c r="J15" s="26"/>
      <c r="K15" s="26"/>
      <c r="L15" s="15" t="s">
        <v>182</v>
      </c>
      <c r="P15" s="22"/>
      <c r="Q15" s="22"/>
    </row>
    <row r="16" spans="1:17">
      <c r="A16" s="13" t="s">
        <v>193</v>
      </c>
      <c r="B16" s="28">
        <v>51</v>
      </c>
      <c r="C16" s="13"/>
      <c r="D16" s="13"/>
      <c r="E16" s="13" t="s">
        <v>194</v>
      </c>
      <c r="F16" s="26" t="s">
        <v>195</v>
      </c>
      <c r="G16" s="26"/>
      <c r="H16" s="26"/>
      <c r="I16" s="26"/>
      <c r="J16" s="26"/>
      <c r="K16" s="26"/>
      <c r="L16" s="15" t="s">
        <v>196</v>
      </c>
      <c r="P16" s="22"/>
      <c r="Q16" s="22"/>
    </row>
    <row r="17" spans="1:17">
      <c r="A17" s="14" t="s">
        <v>197</v>
      </c>
      <c r="B17" s="30">
        <v>60</v>
      </c>
      <c r="C17" s="14"/>
      <c r="D17" s="14"/>
      <c r="E17" s="24" t="s">
        <v>198</v>
      </c>
      <c r="F17" s="15" t="str">
        <f ca="1">"Phải điền giá trị cho chỉ tiêu "&amp;H17&amp;" Năm nay"&amp;" (không có phải điền bằng 0)"</f>
        <v>Phải điền giá trị cho chỉ tiêu 0 Năm nay (không có phải điền bằng 0)</v>
      </c>
      <c r="G17" s="15">
        <f ca="1">INDIRECT(ADDRESS(MATCH(TRUE,INDEX(C1:C17="",0),0),18),TRUE)</f>
        <v>0</v>
      </c>
      <c r="H17" s="15">
        <f ca="1">INDIRECT(ADDRESS(MATCH(TRUE,INDEX(D1:D17="",0),0),18),TRUE)</f>
        <v>0</v>
      </c>
      <c r="J17" s="26"/>
      <c r="K17" s="26"/>
      <c r="L17" s="15" t="s">
        <v>189</v>
      </c>
      <c r="P17" s="22"/>
      <c r="Q17" s="22"/>
    </row>
  </sheetData>
  <conditionalFormatting sqref="A4:E4">
    <cfRule type="expression" dxfId="158" priority="135">
      <formula>OR(#REF!&lt;&gt;0,#REF!&lt;&gt;0)</formula>
    </cfRule>
  </conditionalFormatting>
  <conditionalFormatting sqref="A6:E6">
    <cfRule type="expression" dxfId="157" priority="136">
      <formula>OR(#REF!&lt;&gt;0,#REF!&lt;&gt;0)</formula>
    </cfRule>
  </conditionalFormatting>
  <conditionalFormatting sqref="A14:E14">
    <cfRule type="expression" dxfId="156" priority="137">
      <formula>OR(#REF!&lt;&gt;0,#REF!&lt;&gt;0)</formula>
    </cfRule>
  </conditionalFormatting>
  <conditionalFormatting sqref="A11:E11">
    <cfRule type="expression" dxfId="155" priority="138">
      <formula>OR(#REF!&lt;&gt;0,#REF!&lt;&gt;0)</formula>
    </cfRule>
  </conditionalFormatting>
  <conditionalFormatting sqref="A15:E15">
    <cfRule type="expression" dxfId="154" priority="139">
      <formula>OR(#REF!&lt;&gt;0,#REF!&lt;&gt;0)</formula>
    </cfRule>
  </conditionalFormatting>
  <conditionalFormatting sqref="A17:E17">
    <cfRule type="expression" dxfId="153" priority="140">
      <formula>OR(#REF!&lt;&gt;0,#REF!&lt;&gt;0)</formula>
    </cfRule>
    <cfRule type="expression" dxfId="152" priority="141">
      <formula>OR(#REF!&lt;&gt;0,#REF!&lt;&gt;0)</formula>
    </cfRule>
  </conditionalFormatting>
  <dataValidations count="1">
    <dataValidation type="decimal" operator="notEqual" allowBlank="1" showInputMessage="1" showErrorMessage="1" sqref="C2:D17" xr:uid="{00000000-0002-0000-0100-000000000000}">
      <formula1>-9.99999999999999E+36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zoomScale="90" zoomScaleNormal="90" workbookViewId="0">
      <selection activeCell="E11" sqref="E11"/>
    </sheetView>
  </sheetViews>
  <sheetFormatPr defaultColWidth="9.140625" defaultRowHeight="12.75"/>
  <cols>
    <col min="1" max="1" width="14.28515625" style="35" bestFit="1" customWidth="1"/>
    <col min="2" max="2" width="6.85546875" style="35" bestFit="1" customWidth="1"/>
    <col min="3" max="3" width="19.85546875" style="37" customWidth="1"/>
    <col min="4" max="4" width="21.42578125" style="35" customWidth="1"/>
    <col min="5" max="5" width="49.85546875" style="27" customWidth="1"/>
    <col min="6" max="16384" width="9.140625" style="35"/>
  </cols>
  <sheetData>
    <row r="1" spans="1:5" s="36" customFormat="1" ht="75" customHeight="1">
      <c r="A1" s="38" t="s">
        <v>0</v>
      </c>
      <c r="B1" s="38" t="s">
        <v>1</v>
      </c>
      <c r="C1" s="34" t="s">
        <v>2</v>
      </c>
      <c r="D1" s="38" t="s">
        <v>3</v>
      </c>
      <c r="E1" s="38" t="s">
        <v>199</v>
      </c>
    </row>
    <row r="2" spans="1:5" ht="15">
      <c r="A2" s="39" t="s">
        <v>200</v>
      </c>
      <c r="B2" s="40" t="s">
        <v>201</v>
      </c>
      <c r="C2" s="59"/>
      <c r="D2" s="59"/>
      <c r="E2" s="42" t="s">
        <v>202</v>
      </c>
    </row>
    <row r="3" spans="1:5" ht="15">
      <c r="A3" s="39" t="s">
        <v>203</v>
      </c>
      <c r="B3" s="43" t="s">
        <v>149</v>
      </c>
      <c r="C3" s="58"/>
      <c r="D3" s="64"/>
      <c r="E3" s="46" t="s">
        <v>204</v>
      </c>
    </row>
    <row r="4" spans="1:5" ht="15">
      <c r="A4" s="39" t="s">
        <v>205</v>
      </c>
      <c r="B4" s="43" t="s">
        <v>153</v>
      </c>
      <c r="C4" s="58"/>
      <c r="D4" s="64"/>
      <c r="E4" s="168" t="s">
        <v>206</v>
      </c>
    </row>
    <row r="5" spans="1:5" ht="15">
      <c r="A5" s="39" t="s">
        <v>207</v>
      </c>
      <c r="B5" s="45" t="s">
        <v>208</v>
      </c>
      <c r="C5" s="58"/>
      <c r="D5" s="64"/>
      <c r="E5" s="47" t="s">
        <v>209</v>
      </c>
    </row>
    <row r="6" spans="1:5" ht="15">
      <c r="A6" s="39" t="s">
        <v>210</v>
      </c>
      <c r="B6" s="45" t="s">
        <v>211</v>
      </c>
      <c r="C6" s="58"/>
      <c r="D6" s="64"/>
      <c r="E6" s="47" t="s">
        <v>212</v>
      </c>
    </row>
    <row r="7" spans="1:5" ht="30">
      <c r="A7" s="39" t="s">
        <v>213</v>
      </c>
      <c r="B7" s="45" t="s">
        <v>214</v>
      </c>
      <c r="C7" s="58"/>
      <c r="D7" s="64"/>
      <c r="E7" s="47" t="s">
        <v>215</v>
      </c>
    </row>
    <row r="8" spans="1:5" ht="15">
      <c r="A8" s="39" t="s">
        <v>216</v>
      </c>
      <c r="B8" s="45" t="s">
        <v>217</v>
      </c>
      <c r="C8" s="58"/>
      <c r="D8" s="64"/>
      <c r="E8" s="47" t="s">
        <v>218</v>
      </c>
    </row>
    <row r="9" spans="1:5" ht="15">
      <c r="A9" s="39" t="s">
        <v>219</v>
      </c>
      <c r="B9" s="45" t="s">
        <v>220</v>
      </c>
      <c r="C9" s="58"/>
      <c r="D9" s="64"/>
      <c r="E9" s="47" t="s">
        <v>221</v>
      </c>
    </row>
    <row r="10" spans="1:5" ht="15">
      <c r="A10" s="39" t="s">
        <v>222</v>
      </c>
      <c r="B10" s="45" t="s">
        <v>223</v>
      </c>
      <c r="C10" s="58"/>
      <c r="D10" s="64"/>
      <c r="E10" s="47" t="s">
        <v>224</v>
      </c>
    </row>
    <row r="11" spans="1:5" ht="45">
      <c r="A11" s="39" t="s">
        <v>225</v>
      </c>
      <c r="B11" s="43" t="s">
        <v>226</v>
      </c>
      <c r="C11" s="58"/>
      <c r="D11" s="64"/>
      <c r="E11" s="46" t="s">
        <v>227</v>
      </c>
    </row>
    <row r="12" spans="1:5" ht="15">
      <c r="A12" s="39" t="s">
        <v>228</v>
      </c>
      <c r="B12" s="41">
        <v>10</v>
      </c>
      <c r="C12" s="59"/>
      <c r="D12" s="59"/>
      <c r="E12" s="47" t="s">
        <v>229</v>
      </c>
    </row>
    <row r="13" spans="1:5" ht="15">
      <c r="A13" s="39" t="s">
        <v>230</v>
      </c>
      <c r="B13" s="41">
        <v>11</v>
      </c>
      <c r="C13" s="59"/>
      <c r="D13" s="59"/>
      <c r="E13" s="47" t="s">
        <v>231</v>
      </c>
    </row>
    <row r="14" spans="1:5" ht="30">
      <c r="A14" s="39" t="s">
        <v>232</v>
      </c>
      <c r="B14" s="41">
        <v>12</v>
      </c>
      <c r="C14" s="59"/>
      <c r="D14" s="59"/>
      <c r="E14" s="47" t="s">
        <v>233</v>
      </c>
    </row>
    <row r="15" spans="1:5" ht="15">
      <c r="A15" s="39" t="s">
        <v>234</v>
      </c>
      <c r="B15" s="41">
        <v>13</v>
      </c>
      <c r="C15" s="59"/>
      <c r="D15" s="59"/>
      <c r="E15" s="47" t="s">
        <v>235</v>
      </c>
    </row>
    <row r="16" spans="1:5" ht="15">
      <c r="A16" s="39" t="s">
        <v>236</v>
      </c>
      <c r="B16" s="41">
        <v>14</v>
      </c>
      <c r="C16" s="59"/>
      <c r="D16" s="59"/>
      <c r="E16" s="47" t="s">
        <v>237</v>
      </c>
    </row>
    <row r="17" spans="1:5" ht="15">
      <c r="A17" s="39" t="s">
        <v>238</v>
      </c>
      <c r="B17" s="41">
        <v>15</v>
      </c>
      <c r="C17" s="59"/>
      <c r="D17" s="59"/>
      <c r="E17" s="47" t="s">
        <v>239</v>
      </c>
    </row>
    <row r="18" spans="1:5" ht="15">
      <c r="A18" s="39" t="s">
        <v>240</v>
      </c>
      <c r="B18" s="41">
        <v>16</v>
      </c>
      <c r="C18" s="59"/>
      <c r="D18" s="59"/>
      <c r="E18" s="47" t="s">
        <v>241</v>
      </c>
    </row>
    <row r="19" spans="1:5" ht="15">
      <c r="A19" s="39" t="s">
        <v>242</v>
      </c>
      <c r="B19" s="41">
        <v>17</v>
      </c>
      <c r="C19" s="59"/>
      <c r="D19" s="59"/>
      <c r="E19" s="47" t="s">
        <v>243</v>
      </c>
    </row>
    <row r="20" spans="1:5" ht="15">
      <c r="A20" s="39" t="s">
        <v>244</v>
      </c>
      <c r="B20" s="41">
        <v>18</v>
      </c>
      <c r="C20" s="59"/>
      <c r="D20" s="59"/>
      <c r="E20" s="47" t="s">
        <v>245</v>
      </c>
    </row>
    <row r="21" spans="1:5" ht="30">
      <c r="A21" s="39" t="s">
        <v>246</v>
      </c>
      <c r="B21" s="48">
        <v>20</v>
      </c>
      <c r="C21" s="59"/>
      <c r="D21" s="65"/>
      <c r="E21" s="46" t="s">
        <v>247</v>
      </c>
    </row>
    <row r="22" spans="1:5" ht="15">
      <c r="A22" s="39" t="s">
        <v>248</v>
      </c>
      <c r="B22" s="40" t="s">
        <v>249</v>
      </c>
      <c r="C22" s="59"/>
      <c r="D22" s="59"/>
      <c r="E22" s="42" t="s">
        <v>250</v>
      </c>
    </row>
    <row r="23" spans="1:5" ht="30">
      <c r="A23" s="39" t="s">
        <v>251</v>
      </c>
      <c r="B23" s="41">
        <v>21</v>
      </c>
      <c r="C23" s="59"/>
      <c r="D23" s="59"/>
      <c r="E23" s="47" t="s">
        <v>252</v>
      </c>
    </row>
    <row r="24" spans="1:5" ht="30">
      <c r="A24" s="39" t="s">
        <v>253</v>
      </c>
      <c r="B24" s="41">
        <v>22</v>
      </c>
      <c r="C24" s="59"/>
      <c r="D24" s="59"/>
      <c r="E24" s="47" t="s">
        <v>254</v>
      </c>
    </row>
    <row r="25" spans="1:5" ht="15">
      <c r="A25" s="39" t="s">
        <v>255</v>
      </c>
      <c r="B25" s="41">
        <v>23</v>
      </c>
      <c r="C25" s="59"/>
      <c r="D25" s="59"/>
      <c r="E25" s="47" t="s">
        <v>256</v>
      </c>
    </row>
    <row r="26" spans="1:5" ht="15">
      <c r="A26" s="39" t="s">
        <v>257</v>
      </c>
      <c r="B26" s="41">
        <v>24</v>
      </c>
      <c r="C26" s="59"/>
      <c r="D26" s="59"/>
      <c r="E26" s="47" t="s">
        <v>258</v>
      </c>
    </row>
    <row r="27" spans="1:5" ht="15">
      <c r="A27" s="39" t="s">
        <v>259</v>
      </c>
      <c r="B27" s="41">
        <v>25</v>
      </c>
      <c r="C27" s="59"/>
      <c r="D27" s="59"/>
      <c r="E27" s="47" t="s">
        <v>260</v>
      </c>
    </row>
    <row r="28" spans="1:5" ht="30">
      <c r="A28" s="39" t="s">
        <v>261</v>
      </c>
      <c r="B28" s="48">
        <v>30</v>
      </c>
      <c r="C28" s="59"/>
      <c r="D28" s="65"/>
      <c r="E28" s="46" t="s">
        <v>262</v>
      </c>
    </row>
    <row r="29" spans="1:5" ht="15">
      <c r="A29" s="39" t="s">
        <v>263</v>
      </c>
      <c r="B29" s="40" t="s">
        <v>264</v>
      </c>
      <c r="C29" s="59"/>
      <c r="D29" s="59"/>
      <c r="E29" s="42" t="s">
        <v>265</v>
      </c>
    </row>
    <row r="30" spans="1:5" ht="30">
      <c r="A30" s="39" t="s">
        <v>266</v>
      </c>
      <c r="B30" s="41">
        <v>31</v>
      </c>
      <c r="C30" s="59"/>
      <c r="D30" s="59"/>
      <c r="E30" s="47" t="s">
        <v>267</v>
      </c>
    </row>
    <row r="31" spans="1:5" ht="30">
      <c r="A31" s="39" t="s">
        <v>268</v>
      </c>
      <c r="B31" s="41">
        <v>32</v>
      </c>
      <c r="C31" s="59"/>
      <c r="D31" s="59"/>
      <c r="E31" s="47" t="s">
        <v>269</v>
      </c>
    </row>
    <row r="32" spans="1:5" ht="15">
      <c r="A32" s="39" t="s">
        <v>270</v>
      </c>
      <c r="B32" s="41">
        <v>33</v>
      </c>
      <c r="C32" s="59"/>
      <c r="D32" s="59"/>
      <c r="E32" s="47" t="s">
        <v>271</v>
      </c>
    </row>
    <row r="33" spans="1:5" ht="15">
      <c r="A33" s="39" t="s">
        <v>272</v>
      </c>
      <c r="B33" s="41">
        <v>34</v>
      </c>
      <c r="C33" s="59"/>
      <c r="D33" s="59"/>
      <c r="E33" s="47" t="s">
        <v>273</v>
      </c>
    </row>
    <row r="34" spans="1:5" ht="15">
      <c r="A34" s="39" t="s">
        <v>274</v>
      </c>
      <c r="B34" s="41">
        <v>35</v>
      </c>
      <c r="C34" s="59"/>
      <c r="D34" s="59"/>
      <c r="E34" s="47" t="s">
        <v>275</v>
      </c>
    </row>
    <row r="35" spans="1:5" ht="15">
      <c r="A35" s="39" t="s">
        <v>276</v>
      </c>
      <c r="B35" s="40">
        <v>60</v>
      </c>
      <c r="C35" s="59"/>
      <c r="D35" s="59"/>
      <c r="E35" s="42" t="s">
        <v>277</v>
      </c>
    </row>
    <row r="36" spans="1:5" ht="15">
      <c r="A36" s="39" t="s">
        <v>278</v>
      </c>
      <c r="B36" s="41">
        <v>61</v>
      </c>
      <c r="C36" s="59"/>
      <c r="D36" s="59"/>
      <c r="E36" s="47" t="s">
        <v>279</v>
      </c>
    </row>
    <row r="37" spans="1:5" ht="15">
      <c r="A37" s="39" t="s">
        <v>280</v>
      </c>
      <c r="B37" s="49">
        <v>70</v>
      </c>
      <c r="C37" s="66"/>
      <c r="D37" s="66"/>
      <c r="E37" s="50" t="s">
        <v>281</v>
      </c>
    </row>
    <row r="39" spans="1:5" ht="15">
      <c r="B39"/>
      <c r="C39"/>
    </row>
    <row r="40" spans="1:5" ht="15">
      <c r="B40"/>
      <c r="C40"/>
    </row>
    <row r="41" spans="1:5" ht="15">
      <c r="B41"/>
      <c r="C41"/>
    </row>
    <row r="42" spans="1:5" ht="15">
      <c r="B42"/>
      <c r="C42"/>
    </row>
    <row r="43" spans="1:5" ht="15">
      <c r="B43"/>
      <c r="C43"/>
    </row>
    <row r="44" spans="1:5" ht="15">
      <c r="B44"/>
      <c r="C44"/>
    </row>
    <row r="45" spans="1:5" ht="15">
      <c r="B45"/>
      <c r="C45"/>
    </row>
    <row r="46" spans="1:5" ht="15">
      <c r="B46"/>
      <c r="C46"/>
    </row>
    <row r="47" spans="1:5" ht="15">
      <c r="B47"/>
      <c r="C47"/>
    </row>
    <row r="48" spans="1:5" ht="15">
      <c r="B48"/>
      <c r="C48"/>
    </row>
    <row r="49" spans="2:3" ht="15">
      <c r="B49"/>
      <c r="C49"/>
    </row>
    <row r="50" spans="2:3" ht="15">
      <c r="B50"/>
      <c r="C50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  <row r="59" spans="2:3" ht="15">
      <c r="B59"/>
      <c r="C59"/>
    </row>
    <row r="60" spans="2:3" ht="15">
      <c r="B60"/>
      <c r="C60"/>
    </row>
    <row r="61" spans="2:3" ht="15">
      <c r="B61"/>
      <c r="C61"/>
    </row>
    <row r="62" spans="2:3" ht="15">
      <c r="B62"/>
      <c r="C62"/>
    </row>
    <row r="63" spans="2:3" ht="15">
      <c r="B63"/>
      <c r="C63"/>
    </row>
    <row r="64" spans="2:3" ht="15">
      <c r="B64"/>
      <c r="C64"/>
    </row>
    <row r="65" spans="2:3" ht="15">
      <c r="B65"/>
      <c r="C65"/>
    </row>
    <row r="66" spans="2:3" ht="15">
      <c r="B66"/>
      <c r="C66"/>
    </row>
    <row r="67" spans="2:3" ht="15">
      <c r="B67"/>
      <c r="C67"/>
    </row>
    <row r="68" spans="2:3" ht="15">
      <c r="B68"/>
      <c r="C68"/>
    </row>
    <row r="69" spans="2:3" ht="15">
      <c r="B69"/>
      <c r="C69"/>
    </row>
    <row r="70" spans="2:3" ht="15">
      <c r="B70"/>
      <c r="C70"/>
    </row>
    <row r="71" spans="2:3" ht="15">
      <c r="B71"/>
      <c r="C71"/>
    </row>
  </sheetData>
  <conditionalFormatting sqref="A4:E4">
    <cfRule type="expression" dxfId="151" priority="187">
      <formula>SUM(#REF!,#REF!)&lt;&gt;0</formula>
    </cfRule>
  </conditionalFormatting>
  <conditionalFormatting sqref="A11:E11">
    <cfRule type="expression" dxfId="150" priority="188">
      <formula>SUM(#REF!,#REF!)&lt;&gt;0</formula>
    </cfRule>
  </conditionalFormatting>
  <conditionalFormatting sqref="A21:E21">
    <cfRule type="expression" dxfId="149" priority="189">
      <formula>SUM(#REF!,#REF!)&lt;&gt;0</formula>
    </cfRule>
  </conditionalFormatting>
  <conditionalFormatting sqref="A28:E28">
    <cfRule type="expression" dxfId="148" priority="190">
      <formula>SUM(#REF!,#REF!)&lt;&gt;0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topLeftCell="A2" zoomScale="90" zoomScaleNormal="90" workbookViewId="0">
      <selection activeCell="E20" sqref="E20"/>
    </sheetView>
  </sheetViews>
  <sheetFormatPr defaultColWidth="9.140625" defaultRowHeight="15"/>
  <cols>
    <col min="1" max="1" width="13.28515625" style="53" customWidth="1"/>
    <col min="2" max="2" width="7.140625" style="53" bestFit="1" customWidth="1"/>
    <col min="3" max="3" width="19.85546875" style="53" customWidth="1"/>
    <col min="4" max="4" width="20.7109375" style="53" customWidth="1"/>
    <col min="5" max="5" width="45" style="54" customWidth="1"/>
    <col min="6" max="6" width="9.140625" style="52"/>
    <col min="7" max="16384" width="9.140625" style="53"/>
  </cols>
  <sheetData>
    <row r="1" spans="1:6" s="56" customFormat="1" ht="78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199</v>
      </c>
      <c r="F1" s="55"/>
    </row>
    <row r="2" spans="1:6">
      <c r="A2" s="39" t="s">
        <v>282</v>
      </c>
      <c r="B2" s="40" t="s">
        <v>201</v>
      </c>
      <c r="C2" s="60"/>
      <c r="D2" s="60"/>
      <c r="E2" s="42" t="s">
        <v>202</v>
      </c>
    </row>
    <row r="3" spans="1:6" ht="30">
      <c r="A3" s="39" t="s">
        <v>283</v>
      </c>
      <c r="B3" s="44" t="s">
        <v>149</v>
      </c>
      <c r="C3" s="61"/>
      <c r="D3" s="61"/>
      <c r="E3" s="47" t="s">
        <v>284</v>
      </c>
    </row>
    <row r="4" spans="1:6" ht="30">
      <c r="A4" s="39" t="s">
        <v>285</v>
      </c>
      <c r="B4" s="44" t="s">
        <v>153</v>
      </c>
      <c r="C4" s="61"/>
      <c r="D4" s="61"/>
      <c r="E4" s="47" t="s">
        <v>286</v>
      </c>
    </row>
    <row r="5" spans="1:6">
      <c r="A5" s="39" t="s">
        <v>287</v>
      </c>
      <c r="B5" s="44" t="s">
        <v>208</v>
      </c>
      <c r="C5" s="61"/>
      <c r="D5" s="61"/>
      <c r="E5" s="47" t="s">
        <v>288</v>
      </c>
    </row>
    <row r="6" spans="1:6">
      <c r="A6" s="39" t="s">
        <v>289</v>
      </c>
      <c r="B6" s="44" t="s">
        <v>211</v>
      </c>
      <c r="C6" s="61"/>
      <c r="D6" s="61"/>
      <c r="E6" s="47" t="s">
        <v>290</v>
      </c>
    </row>
    <row r="7" spans="1:6">
      <c r="A7" s="39" t="s">
        <v>291</v>
      </c>
      <c r="B7" s="44" t="s">
        <v>214</v>
      </c>
      <c r="C7" s="61"/>
      <c r="D7" s="61"/>
      <c r="E7" s="47" t="s">
        <v>292</v>
      </c>
    </row>
    <row r="8" spans="1:6">
      <c r="A8" s="39" t="s">
        <v>293</v>
      </c>
      <c r="B8" s="44" t="s">
        <v>217</v>
      </c>
      <c r="C8" s="61"/>
      <c r="D8" s="61"/>
      <c r="E8" s="47" t="s">
        <v>294</v>
      </c>
    </row>
    <row r="9" spans="1:6">
      <c r="A9" s="39" t="s">
        <v>295</v>
      </c>
      <c r="B9" s="44" t="s">
        <v>220</v>
      </c>
      <c r="C9" s="61"/>
      <c r="D9" s="61"/>
      <c r="E9" s="47" t="s">
        <v>296</v>
      </c>
    </row>
    <row r="10" spans="1:6" ht="30">
      <c r="A10" s="39" t="s">
        <v>297</v>
      </c>
      <c r="B10" s="48">
        <v>20</v>
      </c>
      <c r="C10" s="62"/>
      <c r="D10" s="62"/>
      <c r="E10" s="46" t="s">
        <v>298</v>
      </c>
    </row>
    <row r="11" spans="1:6">
      <c r="A11" s="39" t="s">
        <v>299</v>
      </c>
      <c r="B11" s="40" t="s">
        <v>249</v>
      </c>
      <c r="C11" s="60"/>
      <c r="D11" s="60"/>
      <c r="E11" s="42" t="s">
        <v>250</v>
      </c>
    </row>
    <row r="12" spans="1:6" ht="30">
      <c r="A12" s="39" t="s">
        <v>300</v>
      </c>
      <c r="B12" s="41">
        <v>21</v>
      </c>
      <c r="C12" s="60"/>
      <c r="D12" s="60"/>
      <c r="E12" s="47" t="s">
        <v>252</v>
      </c>
    </row>
    <row r="13" spans="1:6" ht="30">
      <c r="A13" s="39" t="s">
        <v>301</v>
      </c>
      <c r="B13" s="41">
        <v>22</v>
      </c>
      <c r="C13" s="60"/>
      <c r="D13" s="60"/>
      <c r="E13" s="47" t="s">
        <v>254</v>
      </c>
    </row>
    <row r="14" spans="1:6" ht="30">
      <c r="A14" s="39" t="s">
        <v>302</v>
      </c>
      <c r="B14" s="41">
        <v>23</v>
      </c>
      <c r="C14" s="60"/>
      <c r="D14" s="60"/>
      <c r="E14" s="47" t="s">
        <v>256</v>
      </c>
    </row>
    <row r="15" spans="1:6" ht="30">
      <c r="A15" s="39" t="s">
        <v>303</v>
      </c>
      <c r="B15" s="41">
        <v>24</v>
      </c>
      <c r="C15" s="60"/>
      <c r="D15" s="60"/>
      <c r="E15" s="47" t="s">
        <v>258</v>
      </c>
    </row>
    <row r="16" spans="1:6" ht="30">
      <c r="A16" s="39" t="s">
        <v>304</v>
      </c>
      <c r="B16" s="41">
        <v>25</v>
      </c>
      <c r="C16" s="60"/>
      <c r="D16" s="60"/>
      <c r="E16" s="47" t="s">
        <v>305</v>
      </c>
    </row>
    <row r="17" spans="1:5" ht="30">
      <c r="A17" s="39" t="s">
        <v>306</v>
      </c>
      <c r="B17" s="48">
        <v>30</v>
      </c>
      <c r="C17" s="62"/>
      <c r="D17" s="62"/>
      <c r="E17" s="46" t="s">
        <v>262</v>
      </c>
    </row>
    <row r="18" spans="1:5">
      <c r="A18" s="39" t="s">
        <v>307</v>
      </c>
      <c r="B18" s="40" t="s">
        <v>264</v>
      </c>
      <c r="C18" s="60"/>
      <c r="D18" s="60"/>
      <c r="E18" s="42" t="s">
        <v>265</v>
      </c>
    </row>
    <row r="19" spans="1:5" ht="30">
      <c r="A19" s="39" t="s">
        <v>308</v>
      </c>
      <c r="B19" s="41">
        <v>31</v>
      </c>
      <c r="C19" s="60"/>
      <c r="D19" s="60"/>
      <c r="E19" s="47" t="s">
        <v>267</v>
      </c>
    </row>
    <row r="20" spans="1:5" ht="30">
      <c r="A20" s="39" t="s">
        <v>309</v>
      </c>
      <c r="B20" s="41">
        <v>32</v>
      </c>
      <c r="C20" s="60"/>
      <c r="D20" s="60"/>
      <c r="E20" s="47" t="s">
        <v>269</v>
      </c>
    </row>
    <row r="21" spans="1:5">
      <c r="A21" s="39" t="s">
        <v>310</v>
      </c>
      <c r="B21" s="41">
        <v>33</v>
      </c>
      <c r="C21" s="60"/>
      <c r="D21" s="60"/>
      <c r="E21" s="47" t="s">
        <v>271</v>
      </c>
    </row>
    <row r="22" spans="1:5">
      <c r="A22" s="39" t="s">
        <v>311</v>
      </c>
      <c r="B22" s="41">
        <v>34</v>
      </c>
      <c r="C22" s="60"/>
      <c r="D22" s="60"/>
      <c r="E22" s="47" t="s">
        <v>312</v>
      </c>
    </row>
    <row r="23" spans="1:5">
      <c r="A23" s="39" t="s">
        <v>313</v>
      </c>
      <c r="B23" s="41">
        <v>35</v>
      </c>
      <c r="C23" s="60"/>
      <c r="D23" s="60"/>
      <c r="E23" s="47" t="s">
        <v>275</v>
      </c>
    </row>
    <row r="24" spans="1:5" ht="30">
      <c r="A24" s="39" t="s">
        <v>314</v>
      </c>
      <c r="B24" s="48">
        <v>40</v>
      </c>
      <c r="C24" s="62"/>
      <c r="D24" s="62"/>
      <c r="E24" s="46" t="s">
        <v>315</v>
      </c>
    </row>
    <row r="25" spans="1:5" ht="28.5">
      <c r="A25" s="39" t="s">
        <v>316</v>
      </c>
      <c r="B25" s="40">
        <v>50</v>
      </c>
      <c r="C25" s="60"/>
      <c r="D25" s="60"/>
      <c r="E25" s="42" t="s">
        <v>317</v>
      </c>
    </row>
    <row r="26" spans="1:5">
      <c r="A26" s="39" t="s">
        <v>318</v>
      </c>
      <c r="B26" s="40">
        <v>60</v>
      </c>
      <c r="C26" s="60"/>
      <c r="D26" s="60"/>
      <c r="E26" s="42" t="s">
        <v>277</v>
      </c>
    </row>
    <row r="27" spans="1:5" ht="30">
      <c r="A27" s="39" t="s">
        <v>319</v>
      </c>
      <c r="B27" s="41">
        <v>61</v>
      </c>
      <c r="C27" s="60"/>
      <c r="D27" s="60"/>
      <c r="E27" s="47" t="s">
        <v>279</v>
      </c>
    </row>
    <row r="28" spans="1:5" ht="28.5">
      <c r="A28" s="57" t="s">
        <v>320</v>
      </c>
      <c r="B28" s="49">
        <v>70</v>
      </c>
      <c r="C28" s="63"/>
      <c r="D28" s="63"/>
      <c r="E28" s="50" t="s">
        <v>281</v>
      </c>
    </row>
  </sheetData>
  <conditionalFormatting sqref="A10:E10">
    <cfRule type="expression" dxfId="147" priority="191">
      <formula>SUM(#REF!,#REF!)&lt;&gt;0</formula>
    </cfRule>
    <cfRule type="expression" dxfId="146" priority="192">
      <formula>SUM(#REF!,#REF!)&lt;&gt;0</formula>
    </cfRule>
  </conditionalFormatting>
  <conditionalFormatting sqref="A17:E17">
    <cfRule type="expression" dxfId="145" priority="193">
      <formula>SUM(#REF!,#REF!)&lt;&gt;0</formula>
    </cfRule>
  </conditionalFormatting>
  <conditionalFormatting sqref="A24:E24">
    <cfRule type="expression" dxfId="144" priority="194">
      <formula>SUM(#REF!,#REF!)&lt;&gt;0</formula>
    </cfRule>
  </conditionalFormatting>
  <conditionalFormatting sqref="A25:E25">
    <cfRule type="expression" dxfId="143" priority="195">
      <formula>SUM(#REF!,#REF!)&lt;&gt;0</formula>
    </cfRule>
  </conditionalFormatting>
  <conditionalFormatting sqref="A28:E28">
    <cfRule type="expression" dxfId="142" priority="196">
      <formula>SUM(#REF!,#REF!)&lt;&gt;0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6"/>
  <sheetViews>
    <sheetView zoomScaleNormal="100" workbookViewId="0">
      <selection activeCell="F2" sqref="F2"/>
    </sheetView>
  </sheetViews>
  <sheetFormatPr defaultRowHeight="15"/>
  <cols>
    <col min="1" max="1" width="13.42578125" style="32" customWidth="1"/>
    <col min="2" max="2" width="6.7109375" style="32" customWidth="1"/>
    <col min="3" max="3" width="22.140625" style="33" customWidth="1"/>
    <col min="4" max="4" width="23.42578125" style="33" customWidth="1"/>
    <col min="5" max="5" width="42.5703125" style="32" customWidth="1"/>
    <col min="6" max="16384" width="9.140625" style="32"/>
  </cols>
  <sheetData>
    <row r="1" spans="1:6" ht="28.5">
      <c r="A1" s="51" t="s">
        <v>0</v>
      </c>
      <c r="B1" s="51" t="s">
        <v>1</v>
      </c>
      <c r="C1" s="169" t="s">
        <v>2</v>
      </c>
      <c r="D1" s="169" t="s">
        <v>3</v>
      </c>
      <c r="E1" s="68" t="s">
        <v>4</v>
      </c>
    </row>
    <row r="2" spans="1:6">
      <c r="A2" s="170" t="s">
        <v>321</v>
      </c>
      <c r="B2" s="171">
        <v>100</v>
      </c>
      <c r="C2" s="172"/>
      <c r="D2" s="172"/>
      <c r="E2" s="170" t="s">
        <v>6</v>
      </c>
      <c r="F2" s="32" t="s">
        <v>7</v>
      </c>
    </row>
    <row r="3" spans="1:6">
      <c r="A3" s="75" t="s">
        <v>322</v>
      </c>
      <c r="B3" s="76">
        <v>110</v>
      </c>
      <c r="C3" s="173"/>
      <c r="D3" s="173"/>
      <c r="E3" s="75" t="s">
        <v>323</v>
      </c>
      <c r="F3" s="32" t="s">
        <v>324</v>
      </c>
    </row>
    <row r="4" spans="1:6">
      <c r="A4" s="75" t="s">
        <v>325</v>
      </c>
      <c r="B4" s="76">
        <v>111</v>
      </c>
      <c r="C4" s="173"/>
      <c r="D4" s="173"/>
      <c r="E4" s="75" t="s">
        <v>326</v>
      </c>
    </row>
    <row r="5" spans="1:6">
      <c r="A5" s="75" t="s">
        <v>327</v>
      </c>
      <c r="B5" s="76">
        <v>112</v>
      </c>
      <c r="C5" s="173"/>
      <c r="D5" s="173"/>
      <c r="E5" s="75" t="s">
        <v>328</v>
      </c>
    </row>
    <row r="6" spans="1:6">
      <c r="A6" s="75" t="s">
        <v>329</v>
      </c>
      <c r="B6" s="76">
        <v>120</v>
      </c>
      <c r="C6" s="173"/>
      <c r="D6" s="173"/>
      <c r="E6" s="75" t="s">
        <v>330</v>
      </c>
      <c r="F6" s="32" t="s">
        <v>331</v>
      </c>
    </row>
    <row r="7" spans="1:6">
      <c r="A7" s="75" t="s">
        <v>332</v>
      </c>
      <c r="B7" s="76">
        <v>121</v>
      </c>
      <c r="C7" s="173"/>
      <c r="D7" s="173"/>
      <c r="E7" s="75" t="s">
        <v>333</v>
      </c>
    </row>
    <row r="8" spans="1:6">
      <c r="A8" s="75" t="s">
        <v>334</v>
      </c>
      <c r="B8" s="76">
        <v>122</v>
      </c>
      <c r="C8" s="173"/>
      <c r="D8" s="173"/>
      <c r="E8" s="75" t="s">
        <v>335</v>
      </c>
    </row>
    <row r="9" spans="1:6">
      <c r="A9" s="75" t="s">
        <v>336</v>
      </c>
      <c r="B9" s="76">
        <v>123</v>
      </c>
      <c r="C9" s="173"/>
      <c r="D9" s="173"/>
      <c r="E9" s="75" t="s">
        <v>337</v>
      </c>
    </row>
    <row r="10" spans="1:6">
      <c r="A10" s="75" t="s">
        <v>338</v>
      </c>
      <c r="B10" s="76">
        <v>130</v>
      </c>
      <c r="C10" s="173"/>
      <c r="D10" s="173"/>
      <c r="E10" s="75" t="s">
        <v>339</v>
      </c>
      <c r="F10" s="32" t="s">
        <v>340</v>
      </c>
    </row>
    <row r="11" spans="1:6">
      <c r="A11" s="75" t="s">
        <v>341</v>
      </c>
      <c r="B11" s="76">
        <v>131</v>
      </c>
      <c r="C11" s="173"/>
      <c r="D11" s="173"/>
      <c r="E11" s="75" t="s">
        <v>342</v>
      </c>
    </row>
    <row r="12" spans="1:6">
      <c r="A12" s="75" t="s">
        <v>343</v>
      </c>
      <c r="B12" s="76">
        <v>132</v>
      </c>
      <c r="C12" s="173"/>
      <c r="D12" s="173"/>
      <c r="E12" s="75" t="s">
        <v>344</v>
      </c>
    </row>
    <row r="13" spans="1:6">
      <c r="A13" s="75" t="s">
        <v>345</v>
      </c>
      <c r="B13" s="76">
        <v>133</v>
      </c>
      <c r="C13" s="173"/>
      <c r="D13" s="173"/>
      <c r="E13" s="75" t="s">
        <v>346</v>
      </c>
    </row>
    <row r="14" spans="1:6">
      <c r="A14" s="75" t="s">
        <v>347</v>
      </c>
      <c r="B14" s="76">
        <v>134</v>
      </c>
      <c r="C14" s="173"/>
      <c r="D14" s="173"/>
      <c r="E14" s="75" t="s">
        <v>348</v>
      </c>
    </row>
    <row r="15" spans="1:6">
      <c r="A15" s="75" t="s">
        <v>349</v>
      </c>
      <c r="B15" s="76">
        <v>135</v>
      </c>
      <c r="C15" s="173"/>
      <c r="D15" s="173"/>
      <c r="E15" s="75" t="s">
        <v>350</v>
      </c>
    </row>
    <row r="16" spans="1:6">
      <c r="A16" s="75" t="s">
        <v>351</v>
      </c>
      <c r="B16" s="76">
        <v>136</v>
      </c>
      <c r="C16" s="173"/>
      <c r="D16" s="173"/>
      <c r="E16" s="75" t="s">
        <v>352</v>
      </c>
    </row>
    <row r="17" spans="1:6">
      <c r="A17" s="75" t="s">
        <v>353</v>
      </c>
      <c r="B17" s="76">
        <v>137</v>
      </c>
      <c r="C17" s="173"/>
      <c r="D17" s="173"/>
      <c r="E17" s="75" t="s">
        <v>354</v>
      </c>
    </row>
    <row r="18" spans="1:6">
      <c r="A18" s="75" t="s">
        <v>355</v>
      </c>
      <c r="B18" s="76">
        <v>139</v>
      </c>
      <c r="C18" s="173"/>
      <c r="D18" s="173"/>
      <c r="E18" s="75" t="s">
        <v>356</v>
      </c>
    </row>
    <row r="19" spans="1:6">
      <c r="A19" s="75" t="s">
        <v>357</v>
      </c>
      <c r="B19" s="76">
        <v>140</v>
      </c>
      <c r="C19" s="173"/>
      <c r="D19" s="173"/>
      <c r="E19" s="75" t="s">
        <v>358</v>
      </c>
      <c r="F19" s="32" t="s">
        <v>359</v>
      </c>
    </row>
    <row r="20" spans="1:6">
      <c r="A20" s="75" t="s">
        <v>360</v>
      </c>
      <c r="B20" s="76">
        <v>141</v>
      </c>
      <c r="C20" s="173"/>
      <c r="D20" s="173"/>
      <c r="E20" s="75" t="s">
        <v>361</v>
      </c>
    </row>
    <row r="21" spans="1:6">
      <c r="A21" s="75" t="s">
        <v>362</v>
      </c>
      <c r="B21" s="76">
        <v>149</v>
      </c>
      <c r="C21" s="173"/>
      <c r="D21" s="173"/>
      <c r="E21" s="75" t="s">
        <v>363</v>
      </c>
    </row>
    <row r="22" spans="1:6">
      <c r="A22" s="75" t="s">
        <v>364</v>
      </c>
      <c r="B22" s="76">
        <v>150</v>
      </c>
      <c r="C22" s="173"/>
      <c r="D22" s="173"/>
      <c r="E22" s="75" t="s">
        <v>365</v>
      </c>
      <c r="F22" s="32" t="s">
        <v>366</v>
      </c>
    </row>
    <row r="23" spans="1:6">
      <c r="A23" s="75" t="s">
        <v>367</v>
      </c>
      <c r="B23" s="76">
        <v>151</v>
      </c>
      <c r="C23" s="173"/>
      <c r="D23" s="173"/>
      <c r="E23" s="75" t="s">
        <v>368</v>
      </c>
    </row>
    <row r="24" spans="1:6">
      <c r="A24" s="75" t="s">
        <v>369</v>
      </c>
      <c r="B24" s="76">
        <v>152</v>
      </c>
      <c r="C24" s="173"/>
      <c r="D24" s="173"/>
      <c r="E24" s="75" t="s">
        <v>370</v>
      </c>
    </row>
    <row r="25" spans="1:6">
      <c r="A25" s="75" t="s">
        <v>371</v>
      </c>
      <c r="B25" s="76">
        <v>153</v>
      </c>
      <c r="C25" s="173"/>
      <c r="D25" s="173"/>
      <c r="E25" s="75" t="s">
        <v>372</v>
      </c>
    </row>
    <row r="26" spans="1:6">
      <c r="A26" s="75" t="s">
        <v>373</v>
      </c>
      <c r="B26" s="76">
        <v>154</v>
      </c>
      <c r="C26" s="173"/>
      <c r="D26" s="173"/>
      <c r="E26" s="75" t="s">
        <v>374</v>
      </c>
    </row>
    <row r="27" spans="1:6">
      <c r="A27" s="75" t="s">
        <v>375</v>
      </c>
      <c r="B27" s="76">
        <v>155</v>
      </c>
      <c r="C27" s="173"/>
      <c r="D27" s="173"/>
      <c r="E27" s="75" t="s">
        <v>376</v>
      </c>
    </row>
    <row r="28" spans="1:6">
      <c r="A28" s="75" t="s">
        <v>377</v>
      </c>
      <c r="B28" s="76">
        <v>200</v>
      </c>
      <c r="C28" s="173"/>
      <c r="D28" s="173"/>
      <c r="E28" s="75" t="s">
        <v>45</v>
      </c>
      <c r="F28" s="32" t="s">
        <v>46</v>
      </c>
    </row>
    <row r="29" spans="1:6">
      <c r="A29" s="75" t="s">
        <v>378</v>
      </c>
      <c r="B29" s="76">
        <v>210</v>
      </c>
      <c r="C29" s="173"/>
      <c r="D29" s="173"/>
      <c r="E29" s="75" t="s">
        <v>379</v>
      </c>
      <c r="F29" s="32" t="s">
        <v>380</v>
      </c>
    </row>
    <row r="30" spans="1:6">
      <c r="A30" s="75" t="s">
        <v>381</v>
      </c>
      <c r="B30" s="76">
        <v>211</v>
      </c>
      <c r="C30" s="173"/>
      <c r="D30" s="173"/>
      <c r="E30" s="75" t="s">
        <v>382</v>
      </c>
    </row>
    <row r="31" spans="1:6">
      <c r="A31" s="75" t="s">
        <v>383</v>
      </c>
      <c r="B31" s="76">
        <v>212</v>
      </c>
      <c r="C31" s="173"/>
      <c r="D31" s="173"/>
      <c r="E31" s="75" t="s">
        <v>384</v>
      </c>
    </row>
    <row r="32" spans="1:6">
      <c r="A32" s="75" t="s">
        <v>385</v>
      </c>
      <c r="B32" s="76">
        <v>213</v>
      </c>
      <c r="C32" s="173"/>
      <c r="D32" s="173"/>
      <c r="E32" s="75" t="s">
        <v>386</v>
      </c>
    </row>
    <row r="33" spans="1:6">
      <c r="A33" s="75" t="s">
        <v>387</v>
      </c>
      <c r="B33" s="76">
        <v>214</v>
      </c>
      <c r="C33" s="173"/>
      <c r="D33" s="173"/>
      <c r="E33" s="75" t="s">
        <v>388</v>
      </c>
    </row>
    <row r="34" spans="1:6">
      <c r="A34" s="75" t="s">
        <v>389</v>
      </c>
      <c r="B34" s="76">
        <v>215</v>
      </c>
      <c r="C34" s="173"/>
      <c r="D34" s="173"/>
      <c r="E34" s="75" t="s">
        <v>390</v>
      </c>
    </row>
    <row r="35" spans="1:6">
      <c r="A35" s="75" t="s">
        <v>391</v>
      </c>
      <c r="B35" s="76">
        <v>216</v>
      </c>
      <c r="C35" s="173"/>
      <c r="D35" s="173"/>
      <c r="E35" s="75" t="s">
        <v>392</v>
      </c>
    </row>
    <row r="36" spans="1:6">
      <c r="A36" s="75" t="s">
        <v>393</v>
      </c>
      <c r="B36" s="76">
        <v>219</v>
      </c>
      <c r="C36" s="173"/>
      <c r="D36" s="173"/>
      <c r="E36" s="75" t="s">
        <v>394</v>
      </c>
    </row>
    <row r="37" spans="1:6">
      <c r="A37" s="75" t="s">
        <v>395</v>
      </c>
      <c r="B37" s="76">
        <v>220</v>
      </c>
      <c r="C37" s="173"/>
      <c r="D37" s="173"/>
      <c r="E37" s="75" t="s">
        <v>396</v>
      </c>
      <c r="F37" s="32" t="s">
        <v>397</v>
      </c>
    </row>
    <row r="38" spans="1:6">
      <c r="A38" s="75" t="s">
        <v>398</v>
      </c>
      <c r="B38" s="76">
        <v>221</v>
      </c>
      <c r="C38" s="173"/>
      <c r="D38" s="173"/>
      <c r="E38" s="75" t="s">
        <v>399</v>
      </c>
      <c r="F38" s="32" t="s">
        <v>400</v>
      </c>
    </row>
    <row r="39" spans="1:6">
      <c r="A39" s="75" t="s">
        <v>401</v>
      </c>
      <c r="B39" s="76">
        <v>222</v>
      </c>
      <c r="C39" s="173"/>
      <c r="D39" s="173"/>
      <c r="E39" s="75" t="s">
        <v>402</v>
      </c>
    </row>
    <row r="40" spans="1:6">
      <c r="A40" s="75" t="s">
        <v>403</v>
      </c>
      <c r="B40" s="76">
        <v>223</v>
      </c>
      <c r="C40" s="173"/>
      <c r="D40" s="173"/>
      <c r="E40" s="75" t="s">
        <v>404</v>
      </c>
    </row>
    <row r="41" spans="1:6">
      <c r="A41" s="75" t="s">
        <v>405</v>
      </c>
      <c r="B41" s="76">
        <v>224</v>
      </c>
      <c r="C41" s="173"/>
      <c r="D41" s="173"/>
      <c r="E41" s="75" t="s">
        <v>406</v>
      </c>
      <c r="F41" s="32" t="s">
        <v>407</v>
      </c>
    </row>
    <row r="42" spans="1:6">
      <c r="A42" s="75" t="s">
        <v>408</v>
      </c>
      <c r="B42" s="76">
        <v>225</v>
      </c>
      <c r="C42" s="173"/>
      <c r="D42" s="173"/>
      <c r="E42" s="75" t="s">
        <v>402</v>
      </c>
    </row>
    <row r="43" spans="1:6">
      <c r="A43" s="75" t="s">
        <v>409</v>
      </c>
      <c r="B43" s="76">
        <v>226</v>
      </c>
      <c r="C43" s="173"/>
      <c r="D43" s="173"/>
      <c r="E43" s="75" t="s">
        <v>404</v>
      </c>
    </row>
    <row r="44" spans="1:6">
      <c r="A44" s="75" t="s">
        <v>410</v>
      </c>
      <c r="B44" s="76">
        <v>227</v>
      </c>
      <c r="C44" s="173"/>
      <c r="D44" s="173"/>
      <c r="E44" s="75" t="s">
        <v>411</v>
      </c>
      <c r="F44" s="32" t="s">
        <v>412</v>
      </c>
    </row>
    <row r="45" spans="1:6">
      <c r="A45" s="75" t="s">
        <v>413</v>
      </c>
      <c r="B45" s="76">
        <v>228</v>
      </c>
      <c r="C45" s="173"/>
      <c r="D45" s="173"/>
      <c r="E45" s="75" t="s">
        <v>402</v>
      </c>
    </row>
    <row r="46" spans="1:6">
      <c r="A46" s="75" t="s">
        <v>414</v>
      </c>
      <c r="B46" s="76">
        <v>229</v>
      </c>
      <c r="C46" s="173"/>
      <c r="D46" s="173"/>
      <c r="E46" s="75" t="s">
        <v>404</v>
      </c>
    </row>
    <row r="47" spans="1:6">
      <c r="A47" s="75" t="s">
        <v>415</v>
      </c>
      <c r="B47" s="76">
        <v>230</v>
      </c>
      <c r="C47" s="173"/>
      <c r="D47" s="173"/>
      <c r="E47" s="75" t="s">
        <v>416</v>
      </c>
      <c r="F47" s="32" t="s">
        <v>417</v>
      </c>
    </row>
    <row r="48" spans="1:6">
      <c r="A48" s="75" t="s">
        <v>418</v>
      </c>
      <c r="B48" s="76">
        <v>231</v>
      </c>
      <c r="C48" s="173"/>
      <c r="D48" s="173"/>
      <c r="E48" s="75" t="s">
        <v>402</v>
      </c>
    </row>
    <row r="49" spans="1:6">
      <c r="A49" s="75" t="s">
        <v>419</v>
      </c>
      <c r="B49" s="76">
        <v>232</v>
      </c>
      <c r="C49" s="173"/>
      <c r="D49" s="173"/>
      <c r="E49" s="75" t="s">
        <v>404</v>
      </c>
    </row>
    <row r="50" spans="1:6">
      <c r="A50" s="75" t="s">
        <v>420</v>
      </c>
      <c r="B50" s="76">
        <v>240</v>
      </c>
      <c r="C50" s="173"/>
      <c r="D50" s="173"/>
      <c r="E50" s="75" t="s">
        <v>421</v>
      </c>
      <c r="F50" s="32" t="s">
        <v>422</v>
      </c>
    </row>
    <row r="51" spans="1:6">
      <c r="A51" s="75" t="s">
        <v>423</v>
      </c>
      <c r="B51" s="76">
        <v>241</v>
      </c>
      <c r="C51" s="173"/>
      <c r="D51" s="173"/>
      <c r="E51" s="75" t="s">
        <v>424</v>
      </c>
    </row>
    <row r="52" spans="1:6">
      <c r="A52" s="75" t="s">
        <v>425</v>
      </c>
      <c r="B52" s="76">
        <v>242</v>
      </c>
      <c r="C52" s="173"/>
      <c r="D52" s="173"/>
      <c r="E52" s="75" t="s">
        <v>426</v>
      </c>
    </row>
    <row r="53" spans="1:6">
      <c r="A53" s="75" t="s">
        <v>427</v>
      </c>
      <c r="B53" s="76">
        <v>250</v>
      </c>
      <c r="C53" s="173"/>
      <c r="D53" s="173"/>
      <c r="E53" s="75" t="s">
        <v>428</v>
      </c>
      <c r="F53" s="32" t="s">
        <v>429</v>
      </c>
    </row>
    <row r="54" spans="1:6">
      <c r="A54" s="75" t="s">
        <v>430</v>
      </c>
      <c r="B54" s="76">
        <v>251</v>
      </c>
      <c r="C54" s="173"/>
      <c r="D54" s="173"/>
      <c r="E54" s="75" t="s">
        <v>431</v>
      </c>
    </row>
    <row r="55" spans="1:6">
      <c r="A55" s="75" t="s">
        <v>432</v>
      </c>
      <c r="B55" s="76">
        <v>252</v>
      </c>
      <c r="C55" s="173"/>
      <c r="D55" s="173"/>
      <c r="E55" s="75" t="s">
        <v>433</v>
      </c>
    </row>
    <row r="56" spans="1:6">
      <c r="A56" s="75" t="s">
        <v>434</v>
      </c>
      <c r="B56" s="76">
        <v>253</v>
      </c>
      <c r="C56" s="173"/>
      <c r="D56" s="173"/>
      <c r="E56" s="75" t="s">
        <v>435</v>
      </c>
    </row>
    <row r="57" spans="1:6">
      <c r="A57" s="75" t="s">
        <v>436</v>
      </c>
      <c r="B57" s="76">
        <v>254</v>
      </c>
      <c r="C57" s="173"/>
      <c r="D57" s="173"/>
      <c r="E57" s="75" t="s">
        <v>437</v>
      </c>
    </row>
    <row r="58" spans="1:6">
      <c r="A58" s="75" t="s">
        <v>438</v>
      </c>
      <c r="B58" s="76">
        <v>255</v>
      </c>
      <c r="C58" s="173"/>
      <c r="D58" s="173"/>
      <c r="E58" s="75" t="s">
        <v>439</v>
      </c>
    </row>
    <row r="59" spans="1:6">
      <c r="A59" s="75" t="s">
        <v>440</v>
      </c>
      <c r="B59" s="76">
        <v>260</v>
      </c>
      <c r="C59" s="173"/>
      <c r="D59" s="173"/>
      <c r="E59" s="75" t="s">
        <v>441</v>
      </c>
      <c r="F59" s="32" t="s">
        <v>442</v>
      </c>
    </row>
    <row r="60" spans="1:6">
      <c r="A60" s="75" t="s">
        <v>443</v>
      </c>
      <c r="B60" s="76">
        <v>261</v>
      </c>
      <c r="C60" s="173"/>
      <c r="D60" s="173"/>
      <c r="E60" s="75" t="s">
        <v>444</v>
      </c>
    </row>
    <row r="61" spans="1:6">
      <c r="A61" s="75" t="s">
        <v>445</v>
      </c>
      <c r="B61" s="76">
        <v>262</v>
      </c>
      <c r="C61" s="173"/>
      <c r="D61" s="173"/>
      <c r="E61" s="75" t="s">
        <v>446</v>
      </c>
    </row>
    <row r="62" spans="1:6">
      <c r="A62" s="75" t="s">
        <v>447</v>
      </c>
      <c r="B62" s="76">
        <v>263</v>
      </c>
      <c r="C62" s="173"/>
      <c r="D62" s="173"/>
      <c r="E62" s="75" t="s">
        <v>448</v>
      </c>
    </row>
    <row r="63" spans="1:6">
      <c r="A63" s="75" t="s">
        <v>449</v>
      </c>
      <c r="B63" s="76">
        <v>268</v>
      </c>
      <c r="C63" s="173"/>
      <c r="D63" s="173"/>
      <c r="E63" s="75" t="s">
        <v>450</v>
      </c>
    </row>
    <row r="64" spans="1:6">
      <c r="A64" s="75" t="s">
        <v>451</v>
      </c>
      <c r="B64" s="76">
        <v>270</v>
      </c>
      <c r="C64" s="173"/>
      <c r="D64" s="173"/>
      <c r="E64" s="75" t="s">
        <v>452</v>
      </c>
      <c r="F64" s="32" t="s">
        <v>453</v>
      </c>
    </row>
    <row r="65" spans="1:6">
      <c r="A65" s="75" t="s">
        <v>454</v>
      </c>
      <c r="B65" s="76">
        <v>300</v>
      </c>
      <c r="C65" s="173"/>
      <c r="D65" s="173"/>
      <c r="E65" s="75" t="s">
        <v>455</v>
      </c>
      <c r="F65" s="32" t="s">
        <v>456</v>
      </c>
    </row>
    <row r="66" spans="1:6">
      <c r="A66" s="75" t="s">
        <v>457</v>
      </c>
      <c r="B66" s="76">
        <v>310</v>
      </c>
      <c r="C66" s="173"/>
      <c r="D66" s="173"/>
      <c r="E66" s="75" t="s">
        <v>458</v>
      </c>
      <c r="F66" s="32" t="s">
        <v>459</v>
      </c>
    </row>
    <row r="67" spans="1:6">
      <c r="A67" s="75" t="s">
        <v>460</v>
      </c>
      <c r="B67" s="76">
        <v>311</v>
      </c>
      <c r="C67" s="173"/>
      <c r="D67" s="173"/>
      <c r="E67" s="75" t="s">
        <v>461</v>
      </c>
    </row>
    <row r="68" spans="1:6">
      <c r="A68" s="75" t="s">
        <v>462</v>
      </c>
      <c r="B68" s="76">
        <v>312</v>
      </c>
      <c r="C68" s="173"/>
      <c r="D68" s="173"/>
      <c r="E68" s="75" t="s">
        <v>463</v>
      </c>
    </row>
    <row r="69" spans="1:6">
      <c r="A69" s="75" t="s">
        <v>464</v>
      </c>
      <c r="B69" s="76">
        <v>313</v>
      </c>
      <c r="C69" s="173"/>
      <c r="D69" s="173"/>
      <c r="E69" s="75" t="s">
        <v>465</v>
      </c>
    </row>
    <row r="70" spans="1:6">
      <c r="A70" s="75" t="s">
        <v>466</v>
      </c>
      <c r="B70" s="76">
        <v>314</v>
      </c>
      <c r="C70" s="173"/>
      <c r="D70" s="173"/>
      <c r="E70" s="75" t="s">
        <v>467</v>
      </c>
    </row>
    <row r="71" spans="1:6">
      <c r="A71" s="75" t="s">
        <v>468</v>
      </c>
      <c r="B71" s="76">
        <v>315</v>
      </c>
      <c r="C71" s="173"/>
      <c r="D71" s="173"/>
      <c r="E71" s="75" t="s">
        <v>469</v>
      </c>
    </row>
    <row r="72" spans="1:6">
      <c r="A72" s="75" t="s">
        <v>470</v>
      </c>
      <c r="B72" s="76">
        <v>316</v>
      </c>
      <c r="C72" s="173"/>
      <c r="D72" s="173"/>
      <c r="E72" s="75" t="s">
        <v>471</v>
      </c>
    </row>
    <row r="73" spans="1:6">
      <c r="A73" s="75" t="s">
        <v>472</v>
      </c>
      <c r="B73" s="76">
        <v>317</v>
      </c>
      <c r="C73" s="173"/>
      <c r="D73" s="173"/>
      <c r="E73" s="75" t="s">
        <v>473</v>
      </c>
    </row>
    <row r="74" spans="1:6">
      <c r="A74" s="75" t="s">
        <v>474</v>
      </c>
      <c r="B74" s="76">
        <v>318</v>
      </c>
      <c r="C74" s="173"/>
      <c r="D74" s="173"/>
      <c r="E74" s="75" t="s">
        <v>475</v>
      </c>
    </row>
    <row r="75" spans="1:6">
      <c r="A75" s="75" t="s">
        <v>476</v>
      </c>
      <c r="B75" s="76">
        <v>319</v>
      </c>
      <c r="C75" s="173"/>
      <c r="D75" s="173"/>
      <c r="E75" s="75" t="s">
        <v>477</v>
      </c>
    </row>
    <row r="76" spans="1:6">
      <c r="A76" s="75" t="s">
        <v>478</v>
      </c>
      <c r="B76" s="76">
        <v>320</v>
      </c>
      <c r="C76" s="173"/>
      <c r="D76" s="173"/>
      <c r="E76" s="75" t="s">
        <v>479</v>
      </c>
    </row>
    <row r="77" spans="1:6">
      <c r="A77" s="75" t="s">
        <v>480</v>
      </c>
      <c r="B77" s="76">
        <v>321</v>
      </c>
      <c r="C77" s="173"/>
      <c r="D77" s="173"/>
      <c r="E77" s="75" t="s">
        <v>481</v>
      </c>
    </row>
    <row r="78" spans="1:6">
      <c r="A78" s="75" t="s">
        <v>482</v>
      </c>
      <c r="B78" s="76">
        <v>322</v>
      </c>
      <c r="C78" s="173"/>
      <c r="D78" s="173"/>
      <c r="E78" s="75" t="s">
        <v>483</v>
      </c>
    </row>
    <row r="79" spans="1:6">
      <c r="A79" s="75" t="s">
        <v>484</v>
      </c>
      <c r="B79" s="76">
        <v>323</v>
      </c>
      <c r="C79" s="173"/>
      <c r="D79" s="173"/>
      <c r="E79" s="75" t="s">
        <v>485</v>
      </c>
    </row>
    <row r="80" spans="1:6">
      <c r="A80" s="75" t="s">
        <v>486</v>
      </c>
      <c r="B80" s="76">
        <v>324</v>
      </c>
      <c r="C80" s="173"/>
      <c r="D80" s="173"/>
      <c r="E80" s="75" t="s">
        <v>487</v>
      </c>
    </row>
    <row r="81" spans="1:6">
      <c r="A81" s="75" t="s">
        <v>488</v>
      </c>
      <c r="B81" s="76">
        <v>330</v>
      </c>
      <c r="C81" s="173"/>
      <c r="D81" s="173"/>
      <c r="E81" s="75" t="s">
        <v>489</v>
      </c>
      <c r="F81" s="32" t="s">
        <v>490</v>
      </c>
    </row>
    <row r="82" spans="1:6">
      <c r="A82" s="75" t="s">
        <v>491</v>
      </c>
      <c r="B82" s="76">
        <v>331</v>
      </c>
      <c r="C82" s="173"/>
      <c r="D82" s="173"/>
      <c r="E82" s="75" t="s">
        <v>492</v>
      </c>
    </row>
    <row r="83" spans="1:6">
      <c r="A83" s="75" t="s">
        <v>493</v>
      </c>
      <c r="B83" s="76">
        <v>332</v>
      </c>
      <c r="C83" s="173"/>
      <c r="D83" s="173"/>
      <c r="E83" s="75" t="s">
        <v>494</v>
      </c>
    </row>
    <row r="84" spans="1:6">
      <c r="A84" s="75" t="s">
        <v>495</v>
      </c>
      <c r="B84" s="76">
        <v>333</v>
      </c>
      <c r="C84" s="173"/>
      <c r="D84" s="173"/>
      <c r="E84" s="75" t="s">
        <v>496</v>
      </c>
    </row>
    <row r="85" spans="1:6">
      <c r="A85" s="75" t="s">
        <v>497</v>
      </c>
      <c r="B85" s="76">
        <v>334</v>
      </c>
      <c r="C85" s="173"/>
      <c r="D85" s="173"/>
      <c r="E85" s="75" t="s">
        <v>498</v>
      </c>
    </row>
    <row r="86" spans="1:6">
      <c r="A86" s="75" t="s">
        <v>499</v>
      </c>
      <c r="B86" s="76">
        <v>335</v>
      </c>
      <c r="C86" s="173"/>
      <c r="D86" s="173"/>
      <c r="E86" s="75" t="s">
        <v>500</v>
      </c>
    </row>
    <row r="87" spans="1:6">
      <c r="A87" s="75" t="s">
        <v>501</v>
      </c>
      <c r="B87" s="76">
        <v>336</v>
      </c>
      <c r="C87" s="173"/>
      <c r="D87" s="173"/>
      <c r="E87" s="75" t="s">
        <v>502</v>
      </c>
    </row>
    <row r="88" spans="1:6">
      <c r="A88" s="75" t="s">
        <v>503</v>
      </c>
      <c r="B88" s="76">
        <v>337</v>
      </c>
      <c r="C88" s="173"/>
      <c r="D88" s="173"/>
      <c r="E88" s="75" t="s">
        <v>504</v>
      </c>
    </row>
    <row r="89" spans="1:6">
      <c r="A89" s="75" t="s">
        <v>505</v>
      </c>
      <c r="B89" s="76">
        <v>338</v>
      </c>
      <c r="C89" s="173"/>
      <c r="D89" s="173"/>
      <c r="E89" s="75" t="s">
        <v>506</v>
      </c>
    </row>
    <row r="90" spans="1:6">
      <c r="A90" s="75" t="s">
        <v>507</v>
      </c>
      <c r="B90" s="76">
        <v>339</v>
      </c>
      <c r="C90" s="173"/>
      <c r="D90" s="173"/>
      <c r="E90" s="75" t="s">
        <v>508</v>
      </c>
    </row>
    <row r="91" spans="1:6">
      <c r="A91" s="75" t="s">
        <v>509</v>
      </c>
      <c r="B91" s="76">
        <v>340</v>
      </c>
      <c r="C91" s="173"/>
      <c r="D91" s="173"/>
      <c r="E91" s="75" t="s">
        <v>510</v>
      </c>
    </row>
    <row r="92" spans="1:6">
      <c r="A92" s="75" t="s">
        <v>511</v>
      </c>
      <c r="B92" s="76">
        <v>341</v>
      </c>
      <c r="C92" s="173"/>
      <c r="D92" s="173"/>
      <c r="E92" s="75" t="s">
        <v>512</v>
      </c>
    </row>
    <row r="93" spans="1:6">
      <c r="A93" s="75" t="s">
        <v>513</v>
      </c>
      <c r="B93" s="76">
        <v>342</v>
      </c>
      <c r="C93" s="173"/>
      <c r="D93" s="173"/>
      <c r="E93" s="75" t="s">
        <v>514</v>
      </c>
    </row>
    <row r="94" spans="1:6">
      <c r="A94" s="75" t="s">
        <v>515</v>
      </c>
      <c r="B94" s="76">
        <v>343</v>
      </c>
      <c r="C94" s="173"/>
      <c r="D94" s="173"/>
      <c r="E94" s="75" t="s">
        <v>516</v>
      </c>
    </row>
    <row r="95" spans="1:6">
      <c r="A95" s="75" t="s">
        <v>517</v>
      </c>
      <c r="B95" s="76">
        <v>400</v>
      </c>
      <c r="C95" s="173"/>
      <c r="D95" s="173"/>
      <c r="E95" s="75" t="s">
        <v>518</v>
      </c>
      <c r="F95" s="32" t="s">
        <v>519</v>
      </c>
    </row>
    <row r="96" spans="1:6">
      <c r="A96" s="75" t="s">
        <v>520</v>
      </c>
      <c r="B96" s="76">
        <v>410</v>
      </c>
      <c r="C96" s="173"/>
      <c r="D96" s="173"/>
      <c r="E96" s="75" t="s">
        <v>521</v>
      </c>
      <c r="F96" s="32" t="s">
        <v>522</v>
      </c>
    </row>
    <row r="97" spans="1:6">
      <c r="A97" s="75" t="s">
        <v>523</v>
      </c>
      <c r="B97" s="76">
        <v>411</v>
      </c>
      <c r="C97" s="173"/>
      <c r="D97" s="173"/>
      <c r="E97" s="75" t="s">
        <v>524</v>
      </c>
      <c r="F97" s="32" t="s">
        <v>525</v>
      </c>
    </row>
    <row r="98" spans="1:6">
      <c r="A98" s="75" t="s">
        <v>526</v>
      </c>
      <c r="B98" s="76" t="s">
        <v>527</v>
      </c>
      <c r="C98" s="173"/>
      <c r="D98" s="173"/>
      <c r="E98" s="75" t="s">
        <v>528</v>
      </c>
    </row>
    <row r="99" spans="1:6">
      <c r="A99" s="75" t="s">
        <v>529</v>
      </c>
      <c r="B99" s="76" t="s">
        <v>530</v>
      </c>
      <c r="C99" s="173"/>
      <c r="D99" s="173"/>
      <c r="E99" s="75" t="s">
        <v>531</v>
      </c>
    </row>
    <row r="100" spans="1:6">
      <c r="A100" s="75" t="s">
        <v>532</v>
      </c>
      <c r="B100" s="76">
        <v>412</v>
      </c>
      <c r="C100" s="173"/>
      <c r="D100" s="173"/>
      <c r="E100" s="75" t="s">
        <v>533</v>
      </c>
    </row>
    <row r="101" spans="1:6">
      <c r="A101" s="75" t="s">
        <v>534</v>
      </c>
      <c r="B101" s="76">
        <v>413</v>
      </c>
      <c r="C101" s="173"/>
      <c r="D101" s="173"/>
      <c r="E101" s="75" t="s">
        <v>535</v>
      </c>
    </row>
    <row r="102" spans="1:6">
      <c r="A102" s="75" t="s">
        <v>536</v>
      </c>
      <c r="B102" s="76">
        <v>414</v>
      </c>
      <c r="C102" s="173"/>
      <c r="D102" s="173"/>
      <c r="E102" s="75" t="s">
        <v>537</v>
      </c>
    </row>
    <row r="103" spans="1:6">
      <c r="A103" s="75" t="s">
        <v>538</v>
      </c>
      <c r="B103" s="76">
        <v>415</v>
      </c>
      <c r="C103" s="173"/>
      <c r="D103" s="173"/>
      <c r="E103" s="75" t="s">
        <v>539</v>
      </c>
    </row>
    <row r="104" spans="1:6">
      <c r="A104" s="75" t="s">
        <v>540</v>
      </c>
      <c r="B104" s="76">
        <v>416</v>
      </c>
      <c r="C104" s="173"/>
      <c r="D104" s="173"/>
      <c r="E104" s="75" t="s">
        <v>541</v>
      </c>
    </row>
    <row r="105" spans="1:6">
      <c r="A105" s="75" t="s">
        <v>542</v>
      </c>
      <c r="B105" s="76">
        <v>417</v>
      </c>
      <c r="C105" s="173"/>
      <c r="D105" s="173"/>
      <c r="E105" s="75" t="s">
        <v>543</v>
      </c>
    </row>
    <row r="106" spans="1:6">
      <c r="A106" s="75" t="s">
        <v>544</v>
      </c>
      <c r="B106" s="76">
        <v>418</v>
      </c>
      <c r="C106" s="173"/>
      <c r="D106" s="173"/>
      <c r="E106" s="75" t="s">
        <v>545</v>
      </c>
    </row>
    <row r="107" spans="1:6">
      <c r="A107" s="75" t="s">
        <v>546</v>
      </c>
      <c r="B107" s="76">
        <v>419</v>
      </c>
      <c r="C107" s="173"/>
      <c r="D107" s="173"/>
      <c r="E107" s="75" t="s">
        <v>547</v>
      </c>
    </row>
    <row r="108" spans="1:6">
      <c r="A108" s="75" t="s">
        <v>548</v>
      </c>
      <c r="B108" s="76">
        <v>420</v>
      </c>
      <c r="C108" s="173"/>
      <c r="D108" s="173"/>
      <c r="E108" s="75" t="s">
        <v>549</v>
      </c>
    </row>
    <row r="109" spans="1:6">
      <c r="A109" s="75" t="s">
        <v>550</v>
      </c>
      <c r="B109" s="76">
        <v>421</v>
      </c>
      <c r="C109" s="173"/>
      <c r="D109" s="173"/>
      <c r="E109" s="75" t="s">
        <v>551</v>
      </c>
      <c r="F109" s="32" t="s">
        <v>552</v>
      </c>
    </row>
    <row r="110" spans="1:6">
      <c r="A110" s="75" t="s">
        <v>553</v>
      </c>
      <c r="B110" s="76" t="s">
        <v>554</v>
      </c>
      <c r="C110" s="173"/>
      <c r="D110" s="173"/>
      <c r="E110" s="75" t="s">
        <v>555</v>
      </c>
    </row>
    <row r="111" spans="1:6">
      <c r="A111" s="75" t="s">
        <v>556</v>
      </c>
      <c r="B111" s="76" t="s">
        <v>557</v>
      </c>
      <c r="C111" s="173"/>
      <c r="D111" s="173"/>
      <c r="E111" s="75" t="s">
        <v>558</v>
      </c>
    </row>
    <row r="112" spans="1:6">
      <c r="A112" s="75" t="s">
        <v>559</v>
      </c>
      <c r="B112" s="76">
        <v>422</v>
      </c>
      <c r="C112" s="173"/>
      <c r="D112" s="173"/>
      <c r="E112" s="75" t="s">
        <v>560</v>
      </c>
    </row>
    <row r="113" spans="1:6">
      <c r="A113" s="75" t="s">
        <v>561</v>
      </c>
      <c r="B113" s="76">
        <v>430</v>
      </c>
      <c r="C113" s="173"/>
      <c r="D113" s="173"/>
      <c r="E113" s="75" t="s">
        <v>562</v>
      </c>
      <c r="F113" s="32" t="s">
        <v>563</v>
      </c>
    </row>
    <row r="114" spans="1:6">
      <c r="A114" s="75" t="s">
        <v>564</v>
      </c>
      <c r="B114" s="76">
        <v>431</v>
      </c>
      <c r="C114" s="173"/>
      <c r="D114" s="173"/>
      <c r="E114" s="75" t="s">
        <v>565</v>
      </c>
    </row>
    <row r="115" spans="1:6">
      <c r="A115" s="75" t="s">
        <v>566</v>
      </c>
      <c r="B115" s="76">
        <v>432</v>
      </c>
      <c r="C115" s="173"/>
      <c r="D115" s="173"/>
      <c r="E115" s="75" t="s">
        <v>567</v>
      </c>
    </row>
    <row r="116" spans="1:6">
      <c r="A116" s="174" t="s">
        <v>568</v>
      </c>
      <c r="B116" s="175">
        <v>440</v>
      </c>
      <c r="C116" s="176"/>
      <c r="D116" s="176"/>
      <c r="E116" s="174" t="s">
        <v>569</v>
      </c>
      <c r="F116" s="32" t="s">
        <v>570</v>
      </c>
    </row>
  </sheetData>
  <conditionalFormatting sqref="A2:E2">
    <cfRule type="expression" dxfId="141" priority="142">
      <formula>SUM(#REF!,#REF!)&lt;&gt;0</formula>
    </cfRule>
  </conditionalFormatting>
  <conditionalFormatting sqref="A3:E3">
    <cfRule type="expression" dxfId="140" priority="143">
      <formula>SUM(#REF!,#REF!)&lt;&gt;0</formula>
    </cfRule>
  </conditionalFormatting>
  <conditionalFormatting sqref="A6:E6">
    <cfRule type="expression" dxfId="139" priority="144">
      <formula>SUM(#REF!,#REF!)&lt;&gt;0</formula>
    </cfRule>
  </conditionalFormatting>
  <conditionalFormatting sqref="A10:E10">
    <cfRule type="expression" dxfId="138" priority="145">
      <formula>SUM(#REF!,#REF!)&lt;&gt;0</formula>
    </cfRule>
  </conditionalFormatting>
  <conditionalFormatting sqref="A19:E19">
    <cfRule type="expression" dxfId="137" priority="146">
      <formula>SUM(#REF!,#REF!)&lt;&gt;0</formula>
    </cfRule>
  </conditionalFormatting>
  <conditionalFormatting sqref="A22:E22">
    <cfRule type="expression" dxfId="136" priority="147">
      <formula>SUM(#REF!,#REF!)&lt;&gt;0</formula>
    </cfRule>
  </conditionalFormatting>
  <conditionalFormatting sqref="A28:E28">
    <cfRule type="expression" dxfId="135" priority="148">
      <formula>SUM(#REF!,#REF!)&lt;&gt;0</formula>
    </cfRule>
  </conditionalFormatting>
  <conditionalFormatting sqref="A29:E29">
    <cfRule type="expression" dxfId="134" priority="149">
      <formula>SUM(#REF!,#REF!)&lt;&gt;0</formula>
    </cfRule>
  </conditionalFormatting>
  <conditionalFormatting sqref="A37:E37">
    <cfRule type="expression" dxfId="133" priority="150">
      <formula>SUM(#REF!,#REF!)&lt;&gt;0</formula>
    </cfRule>
  </conditionalFormatting>
  <conditionalFormatting sqref="A38:E38">
    <cfRule type="expression" dxfId="132" priority="151">
      <formula>SUM(#REF!,#REF!)&lt;&gt;0</formula>
    </cfRule>
  </conditionalFormatting>
  <conditionalFormatting sqref="A41:E41">
    <cfRule type="expression" dxfId="131" priority="152">
      <formula>SUM(#REF!,#REF!)&lt;&gt;0</formula>
    </cfRule>
  </conditionalFormatting>
  <conditionalFormatting sqref="A44:E44">
    <cfRule type="expression" dxfId="130" priority="153">
      <formula>SUM(#REF!,#REF!)&lt;&gt;0</formula>
    </cfRule>
  </conditionalFormatting>
  <conditionalFormatting sqref="A47:E47">
    <cfRule type="expression" dxfId="129" priority="154">
      <formula>SUM(#REF!,#REF!)&lt;&gt;0</formula>
    </cfRule>
  </conditionalFormatting>
  <conditionalFormatting sqref="A50:E50">
    <cfRule type="expression" dxfId="128" priority="155">
      <formula>SUM(#REF!,#REF!)&lt;&gt;0</formula>
    </cfRule>
  </conditionalFormatting>
  <conditionalFormatting sqref="A53:E53">
    <cfRule type="expression" dxfId="127" priority="156">
      <formula>SUM(#REF!,#REF!)&lt;&gt;0</formula>
    </cfRule>
  </conditionalFormatting>
  <conditionalFormatting sqref="A59:E59">
    <cfRule type="expression" dxfId="126" priority="157">
      <formula>SUM(#REF!,#REF!)&lt;&gt;0</formula>
    </cfRule>
  </conditionalFormatting>
  <conditionalFormatting sqref="A64:E64">
    <cfRule type="expression" dxfId="125" priority="158">
      <formula>(SUM($C$64:$D$64)-SUM($C$116:$D$116))&lt;&gt;0</formula>
    </cfRule>
    <cfRule type="expression" dxfId="124" priority="159">
      <formula>SUM(#REF!,#REF!)&lt;&gt;0</formula>
    </cfRule>
  </conditionalFormatting>
  <conditionalFormatting sqref="A65:E65">
    <cfRule type="expression" dxfId="123" priority="160">
      <formula>SUM(#REF!,#REF!)&lt;&gt;0</formula>
    </cfRule>
  </conditionalFormatting>
  <conditionalFormatting sqref="A66:E66">
    <cfRule type="expression" dxfId="122" priority="161">
      <formula>SUM(#REF!,#REF!)&lt;&gt;0</formula>
    </cfRule>
  </conditionalFormatting>
  <conditionalFormatting sqref="A81:E81">
    <cfRule type="expression" dxfId="121" priority="162">
      <formula>SUM(#REF!,#REF!)&lt;&gt;0</formula>
    </cfRule>
  </conditionalFormatting>
  <conditionalFormatting sqref="A95:E95">
    <cfRule type="expression" dxfId="120" priority="163">
      <formula>SUM(#REF!,#REF!)&lt;&gt;0</formula>
    </cfRule>
  </conditionalFormatting>
  <conditionalFormatting sqref="A96:E96">
    <cfRule type="expression" dxfId="119" priority="164">
      <formula>SUM(#REF!,#REF!)&lt;&gt;0</formula>
    </cfRule>
  </conditionalFormatting>
  <conditionalFormatting sqref="A97:E97">
    <cfRule type="expression" dxfId="118" priority="165">
      <formula>SUM(#REF!,#REF!)&lt;&gt;0</formula>
    </cfRule>
  </conditionalFormatting>
  <conditionalFormatting sqref="A109:E109">
    <cfRule type="expression" dxfId="117" priority="166">
      <formula>SUM(#REF!,#REF!)&lt;&gt;0</formula>
    </cfRule>
  </conditionalFormatting>
  <conditionalFormatting sqref="A113:E113">
    <cfRule type="expression" dxfId="116" priority="167">
      <formula>SUM(#REF!,#REF!)&lt;&gt;0</formula>
    </cfRule>
  </conditionalFormatting>
  <conditionalFormatting sqref="A116:E116">
    <cfRule type="expression" dxfId="115" priority="168">
      <formula>(SUM($C$64:$D$64)-SUM($C$116:$D$116))&lt;&gt;0</formula>
    </cfRule>
    <cfRule type="expression" dxfId="114" priority="169">
      <formula>SUM(#REF!,#REF!)&lt;&gt;0</formula>
    </cfRule>
  </conditionalFormatting>
  <conditionalFormatting sqref="A8:E8">
    <cfRule type="expression" dxfId="113" priority="170">
      <formula>OR(#REF!="Sai",#REF!="Sai")</formula>
    </cfRule>
  </conditionalFormatting>
  <conditionalFormatting sqref="A17:E17">
    <cfRule type="expression" dxfId="112" priority="171">
      <formula>OR(#REF!="Sai",#REF!="Sai")</formula>
    </cfRule>
  </conditionalFormatting>
  <conditionalFormatting sqref="A21:E21">
    <cfRule type="expression" dxfId="111" priority="172">
      <formula>OR(#REF!="Sai",#REF!="Sai")</formula>
    </cfRule>
  </conditionalFormatting>
  <conditionalFormatting sqref="A36:E36">
    <cfRule type="expression" dxfId="110" priority="173">
      <formula>OR(#REF!="Sai",#REF!="Sai")</formula>
    </cfRule>
  </conditionalFormatting>
  <conditionalFormatting sqref="A40:E40">
    <cfRule type="expression" dxfId="109" priority="174">
      <formula>OR(#REF!="Sai",#REF!="Sai")</formula>
    </cfRule>
  </conditionalFormatting>
  <conditionalFormatting sqref="A43:E43">
    <cfRule type="expression" dxfId="108" priority="175">
      <formula>OR(#REF!="Sai",#REF!="Sai")</formula>
    </cfRule>
  </conditionalFormatting>
  <conditionalFormatting sqref="A46:E46">
    <cfRule type="expression" dxfId="107" priority="176">
      <formula>OR(#REF!="Sai",#REF!="Sai")</formula>
    </cfRule>
  </conditionalFormatting>
  <conditionalFormatting sqref="A49:E49">
    <cfRule type="expression" dxfId="106" priority="177">
      <formula>OR(#REF!="Sai",#REF!="Sai")</formula>
    </cfRule>
  </conditionalFormatting>
  <conditionalFormatting sqref="A57:E57">
    <cfRule type="expression" dxfId="105" priority="178">
      <formula>OR(#REF!="Sai",#REF!="Sai")</formula>
    </cfRule>
  </conditionalFormatting>
  <conditionalFormatting sqref="A103:E103">
    <cfRule type="expression" dxfId="104" priority="179">
      <formula>OR(#REF!="Sai",#REF!="Sai")</formula>
    </cfRule>
  </conditionalFormatting>
  <dataValidations count="1">
    <dataValidation type="decimal" operator="notEqual" allowBlank="1" showInputMessage="1" showErrorMessage="1" errorTitle="Sai định dạng" error="Kiểm tra lại các giá trị đã nhập. Vui lòng nhập giá trị dạng số " sqref="C2:D116" xr:uid="{00000000-0002-0000-0400-000000000000}">
      <formula1>-9.99999999999999E+36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zoomScale="90" zoomScaleNormal="90" workbookViewId="0">
      <selection activeCell="G15" sqref="G15"/>
    </sheetView>
  </sheetViews>
  <sheetFormatPr defaultRowHeight="15"/>
  <cols>
    <col min="1" max="1" width="12.28515625" bestFit="1" customWidth="1"/>
    <col min="2" max="2" width="6.7109375" customWidth="1"/>
    <col min="3" max="3" width="22.28515625" customWidth="1"/>
    <col min="4" max="4" width="24.42578125" customWidth="1"/>
    <col min="5" max="5" width="61.7109375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9" t="s">
        <v>571</v>
      </c>
      <c r="B2" s="10" t="s">
        <v>149</v>
      </c>
      <c r="C2" s="1"/>
      <c r="D2" s="1"/>
      <c r="E2" s="9" t="s">
        <v>150</v>
      </c>
    </row>
    <row r="3" spans="1:5">
      <c r="A3" s="2" t="s">
        <v>572</v>
      </c>
      <c r="B3" s="3" t="s">
        <v>153</v>
      </c>
      <c r="C3" s="4"/>
      <c r="D3" s="4"/>
      <c r="E3" s="2" t="s">
        <v>154</v>
      </c>
    </row>
    <row r="4" spans="1:5">
      <c r="A4" s="2" t="s">
        <v>573</v>
      </c>
      <c r="B4" s="3" t="s">
        <v>574</v>
      </c>
      <c r="C4" s="4"/>
      <c r="D4" s="4"/>
      <c r="E4" s="2" t="s">
        <v>575</v>
      </c>
    </row>
    <row r="5" spans="1:5">
      <c r="A5" s="2" t="s">
        <v>576</v>
      </c>
      <c r="B5" s="3" t="s">
        <v>577</v>
      </c>
      <c r="C5" s="4"/>
      <c r="D5" s="4"/>
      <c r="E5" s="2" t="s">
        <v>160</v>
      </c>
    </row>
    <row r="6" spans="1:5">
      <c r="A6" s="2" t="s">
        <v>578</v>
      </c>
      <c r="B6" s="3" t="s">
        <v>579</v>
      </c>
      <c r="C6" s="4"/>
      <c r="D6" s="4"/>
      <c r="E6" s="2" t="s">
        <v>580</v>
      </c>
    </row>
    <row r="7" spans="1:5">
      <c r="A7" s="2" t="s">
        <v>581</v>
      </c>
      <c r="B7" s="3" t="s">
        <v>582</v>
      </c>
      <c r="C7" s="4"/>
      <c r="D7" s="4"/>
      <c r="E7" s="2" t="s">
        <v>166</v>
      </c>
    </row>
    <row r="8" spans="1:5">
      <c r="A8" s="2" t="s">
        <v>583</v>
      </c>
      <c r="B8" s="3" t="s">
        <v>584</v>
      </c>
      <c r="C8" s="4"/>
      <c r="D8" s="4"/>
      <c r="E8" s="2" t="s">
        <v>169</v>
      </c>
    </row>
    <row r="9" spans="1:5">
      <c r="A9" s="2" t="s">
        <v>585</v>
      </c>
      <c r="B9" s="3" t="s">
        <v>586</v>
      </c>
      <c r="C9" s="4"/>
      <c r="D9" s="4"/>
      <c r="E9" s="2" t="s">
        <v>587</v>
      </c>
    </row>
    <row r="10" spans="1:5">
      <c r="A10" s="2" t="s">
        <v>588</v>
      </c>
      <c r="B10" s="3">
        <v>25</v>
      </c>
      <c r="C10" s="4"/>
      <c r="D10" s="4"/>
      <c r="E10" s="2" t="s">
        <v>589</v>
      </c>
    </row>
    <row r="11" spans="1:5">
      <c r="A11" s="2" t="s">
        <v>590</v>
      </c>
      <c r="B11" s="3">
        <v>26</v>
      </c>
      <c r="C11" s="4"/>
      <c r="D11" s="4"/>
      <c r="E11" s="2" t="s">
        <v>591</v>
      </c>
    </row>
    <row r="12" spans="1:5">
      <c r="A12" s="2" t="s">
        <v>592</v>
      </c>
      <c r="B12" s="3" t="s">
        <v>593</v>
      </c>
      <c r="C12" s="4"/>
      <c r="D12" s="4"/>
      <c r="E12" s="2" t="s">
        <v>594</v>
      </c>
    </row>
    <row r="13" spans="1:5">
      <c r="A13" s="2" t="s">
        <v>595</v>
      </c>
      <c r="B13" s="3" t="s">
        <v>596</v>
      </c>
      <c r="C13" s="4"/>
      <c r="D13" s="4"/>
      <c r="E13" s="2" t="s">
        <v>597</v>
      </c>
    </row>
    <row r="14" spans="1:5">
      <c r="A14" s="2" t="s">
        <v>598</v>
      </c>
      <c r="B14" s="3" t="s">
        <v>599</v>
      </c>
      <c r="C14" s="4"/>
      <c r="D14" s="4"/>
      <c r="E14" s="2" t="s">
        <v>600</v>
      </c>
    </row>
    <row r="15" spans="1:5">
      <c r="A15" s="2" t="s">
        <v>601</v>
      </c>
      <c r="B15" s="3" t="s">
        <v>602</v>
      </c>
      <c r="C15" s="4"/>
      <c r="D15" s="4"/>
      <c r="E15" s="2" t="s">
        <v>603</v>
      </c>
    </row>
    <row r="16" spans="1:5">
      <c r="A16" s="2" t="s">
        <v>604</v>
      </c>
      <c r="B16" s="3" t="s">
        <v>605</v>
      </c>
      <c r="C16" s="4"/>
      <c r="D16" s="4"/>
      <c r="E16" s="2" t="s">
        <v>606</v>
      </c>
    </row>
    <row r="17" spans="1:5">
      <c r="A17" s="2" t="s">
        <v>607</v>
      </c>
      <c r="B17" s="3" t="s">
        <v>608</v>
      </c>
      <c r="C17" s="4"/>
      <c r="D17" s="4"/>
      <c r="E17" s="2" t="s">
        <v>609</v>
      </c>
    </row>
    <row r="18" spans="1:5">
      <c r="A18" s="2" t="s">
        <v>610</v>
      </c>
      <c r="B18" s="3" t="s">
        <v>611</v>
      </c>
      <c r="C18" s="4"/>
      <c r="D18" s="4"/>
      <c r="E18" s="2" t="s">
        <v>612</v>
      </c>
    </row>
    <row r="19" spans="1:5">
      <c r="A19" s="2" t="s">
        <v>613</v>
      </c>
      <c r="B19" s="3" t="s">
        <v>614</v>
      </c>
      <c r="C19" s="4"/>
      <c r="D19" s="4"/>
      <c r="E19" s="2" t="s">
        <v>615</v>
      </c>
    </row>
    <row r="20" spans="1:5">
      <c r="A20" s="2" t="s">
        <v>616</v>
      </c>
      <c r="B20" s="3" t="s">
        <v>617</v>
      </c>
      <c r="C20" s="4"/>
      <c r="D20" s="4"/>
      <c r="E20" s="2" t="s">
        <v>618</v>
      </c>
    </row>
    <row r="21" spans="1:5">
      <c r="A21" s="5" t="s">
        <v>619</v>
      </c>
      <c r="B21" s="6" t="s">
        <v>620</v>
      </c>
      <c r="C21" s="7"/>
      <c r="D21" s="7"/>
      <c r="E21" s="5" t="s">
        <v>621</v>
      </c>
    </row>
  </sheetData>
  <conditionalFormatting sqref="A4:E4">
    <cfRule type="expression" dxfId="103" priority="180">
      <formula>SUM(#REF!,#REF!)&lt;&gt;0</formula>
    </cfRule>
  </conditionalFormatting>
  <conditionalFormatting sqref="A6:E6">
    <cfRule type="expression" dxfId="102" priority="181">
      <formula>SUM(#REF!,#REF!)&lt;&gt;0</formula>
    </cfRule>
  </conditionalFormatting>
  <conditionalFormatting sqref="A12:E12">
    <cfRule type="expression" dxfId="101" priority="182">
      <formula>SUM(#REF!,#REF!)&lt;&gt;0</formula>
    </cfRule>
  </conditionalFormatting>
  <conditionalFormatting sqref="A15:E15">
    <cfRule type="expression" dxfId="100" priority="183">
      <formula>SUM(#REF!,#REF!)&lt;&gt;0</formula>
    </cfRule>
  </conditionalFormatting>
  <conditionalFormatting sqref="A16:E16">
    <cfRule type="expression" dxfId="99" priority="184">
      <formula>SUM(#REF!,#REF!)&lt;&gt;0</formula>
    </cfRule>
  </conditionalFormatting>
  <conditionalFormatting sqref="A19:E19">
    <cfRule type="expression" dxfId="98" priority="185">
      <formula>SUM(#REF!,#REF!)&lt;&gt;0</formula>
    </cfRule>
  </conditionalFormatting>
  <conditionalFormatting sqref="A2:E2">
    <cfRule type="expression" dxfId="97" priority="186">
      <formula>OR(#REF!="Sai",#REF!="Sai")</formula>
    </cfRule>
  </conditionalFormatting>
  <dataValidations count="1">
    <dataValidation type="decimal" operator="notEqual" allowBlank="1" showInputMessage="1" showErrorMessage="1" errorTitle="Sai định dạng" error="Kiểm tra lại các giá trị đã nhập. Vui lòng nhập giá trị dạng số " sqref="C2:D21" xr:uid="{00000000-0002-0000-0500-000000000000}">
      <formula1>-9.99999999999999E+36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2"/>
  <sheetViews>
    <sheetView zoomScale="90" zoomScaleNormal="90" workbookViewId="0">
      <selection activeCell="E2" sqref="E2"/>
    </sheetView>
  </sheetViews>
  <sheetFormatPr defaultRowHeight="15"/>
  <cols>
    <col min="1" max="1" width="13.42578125" style="17" bestFit="1" customWidth="1"/>
    <col min="2" max="2" width="8.5703125" style="121" customWidth="1"/>
    <col min="3" max="3" width="21" style="17" bestFit="1" customWidth="1"/>
    <col min="4" max="4" width="22.42578125" style="17" bestFit="1" customWidth="1"/>
    <col min="5" max="5" width="44.5703125" style="122" customWidth="1"/>
    <col min="6" max="16384" width="9.140625" style="17"/>
  </cols>
  <sheetData>
    <row r="1" spans="1:5">
      <c r="A1" s="108" t="s">
        <v>0</v>
      </c>
      <c r="B1" s="109" t="s">
        <v>1</v>
      </c>
      <c r="C1" s="108" t="s">
        <v>2</v>
      </c>
      <c r="D1" s="108" t="s">
        <v>3</v>
      </c>
      <c r="E1" s="109" t="s">
        <v>4</v>
      </c>
    </row>
    <row r="2" spans="1:5">
      <c r="A2" s="110" t="s">
        <v>622</v>
      </c>
      <c r="B2" s="111"/>
      <c r="C2" s="112"/>
      <c r="D2" s="112"/>
      <c r="E2" s="113" t="s">
        <v>202</v>
      </c>
    </row>
    <row r="3" spans="1:5">
      <c r="A3" s="114" t="s">
        <v>623</v>
      </c>
      <c r="B3" s="115" t="s">
        <v>149</v>
      </c>
      <c r="C3" s="116"/>
      <c r="D3" s="116"/>
      <c r="E3" s="117" t="s">
        <v>204</v>
      </c>
    </row>
    <row r="4" spans="1:5">
      <c r="A4" s="114" t="s">
        <v>624</v>
      </c>
      <c r="B4" s="115"/>
      <c r="C4" s="116"/>
      <c r="D4" s="116"/>
      <c r="E4" s="117" t="s">
        <v>625</v>
      </c>
    </row>
    <row r="5" spans="1:5">
      <c r="A5" s="114" t="s">
        <v>626</v>
      </c>
      <c r="B5" s="115" t="s">
        <v>153</v>
      </c>
      <c r="C5" s="116"/>
      <c r="D5" s="116"/>
      <c r="E5" s="117" t="s">
        <v>209</v>
      </c>
    </row>
    <row r="6" spans="1:5">
      <c r="A6" s="114" t="s">
        <v>627</v>
      </c>
      <c r="B6" s="115" t="s">
        <v>208</v>
      </c>
      <c r="C6" s="116"/>
      <c r="D6" s="116"/>
      <c r="E6" s="117" t="s">
        <v>212</v>
      </c>
    </row>
    <row r="7" spans="1:5" ht="25.5">
      <c r="A7" s="114" t="s">
        <v>628</v>
      </c>
      <c r="B7" s="115" t="s">
        <v>211</v>
      </c>
      <c r="C7" s="116"/>
      <c r="D7" s="116"/>
      <c r="E7" s="117" t="s">
        <v>215</v>
      </c>
    </row>
    <row r="8" spans="1:5">
      <c r="A8" s="114" t="s">
        <v>629</v>
      </c>
      <c r="B8" s="115" t="s">
        <v>214</v>
      </c>
      <c r="C8" s="116"/>
      <c r="D8" s="116"/>
      <c r="E8" s="117" t="s">
        <v>218</v>
      </c>
    </row>
    <row r="9" spans="1:5">
      <c r="A9" s="114" t="s">
        <v>630</v>
      </c>
      <c r="B9" s="115" t="s">
        <v>217</v>
      </c>
      <c r="C9" s="116"/>
      <c r="D9" s="116"/>
      <c r="E9" s="117" t="s">
        <v>221</v>
      </c>
    </row>
    <row r="10" spans="1:5">
      <c r="A10" s="114" t="s">
        <v>631</v>
      </c>
      <c r="B10" s="115" t="s">
        <v>220</v>
      </c>
      <c r="C10" s="116"/>
      <c r="D10" s="116"/>
      <c r="E10" s="117" t="s">
        <v>632</v>
      </c>
    </row>
    <row r="11" spans="1:5" ht="25.5">
      <c r="A11" s="114" t="s">
        <v>633</v>
      </c>
      <c r="B11" s="115" t="s">
        <v>223</v>
      </c>
      <c r="C11" s="116"/>
      <c r="D11" s="116"/>
      <c r="E11" s="77" t="s">
        <v>634</v>
      </c>
    </row>
    <row r="12" spans="1:5">
      <c r="A12" s="114" t="s">
        <v>635</v>
      </c>
      <c r="B12" s="115" t="s">
        <v>226</v>
      </c>
      <c r="C12" s="116"/>
      <c r="D12" s="116"/>
      <c r="E12" s="117" t="s">
        <v>229</v>
      </c>
    </row>
    <row r="13" spans="1:5">
      <c r="A13" s="114" t="s">
        <v>636</v>
      </c>
      <c r="B13" s="115" t="s">
        <v>574</v>
      </c>
      <c r="C13" s="116"/>
      <c r="D13" s="116"/>
      <c r="E13" s="117" t="s">
        <v>231</v>
      </c>
    </row>
    <row r="14" spans="1:5" ht="25.5">
      <c r="A14" s="114" t="s">
        <v>637</v>
      </c>
      <c r="B14" s="115" t="s">
        <v>577</v>
      </c>
      <c r="C14" s="116"/>
      <c r="D14" s="116"/>
      <c r="E14" s="117" t="s">
        <v>233</v>
      </c>
    </row>
    <row r="15" spans="1:5">
      <c r="A15" s="114" t="s">
        <v>638</v>
      </c>
      <c r="B15" s="115" t="s">
        <v>639</v>
      </c>
      <c r="C15" s="116"/>
      <c r="D15" s="116"/>
      <c r="E15" s="117" t="s">
        <v>235</v>
      </c>
    </row>
    <row r="16" spans="1:5">
      <c r="A16" s="114" t="s">
        <v>640</v>
      </c>
      <c r="B16" s="115" t="s">
        <v>641</v>
      </c>
      <c r="C16" s="116"/>
      <c r="D16" s="116"/>
      <c r="E16" s="117" t="s">
        <v>237</v>
      </c>
    </row>
    <row r="17" spans="1:5">
      <c r="A17" s="114" t="s">
        <v>642</v>
      </c>
      <c r="B17" s="115" t="s">
        <v>643</v>
      </c>
      <c r="C17" s="116"/>
      <c r="D17" s="116"/>
      <c r="E17" s="117" t="s">
        <v>239</v>
      </c>
    </row>
    <row r="18" spans="1:5">
      <c r="A18" s="114" t="s">
        <v>644</v>
      </c>
      <c r="B18" s="115" t="s">
        <v>645</v>
      </c>
      <c r="C18" s="116"/>
      <c r="D18" s="116"/>
      <c r="E18" s="117" t="s">
        <v>241</v>
      </c>
    </row>
    <row r="19" spans="1:5">
      <c r="A19" s="114" t="s">
        <v>646</v>
      </c>
      <c r="B19" s="115" t="s">
        <v>647</v>
      </c>
      <c r="C19" s="116"/>
      <c r="D19" s="116"/>
      <c r="E19" s="117" t="s">
        <v>243</v>
      </c>
    </row>
    <row r="20" spans="1:5">
      <c r="A20" s="114" t="s">
        <v>648</v>
      </c>
      <c r="B20" s="115" t="s">
        <v>649</v>
      </c>
      <c r="C20" s="116"/>
      <c r="D20" s="116"/>
      <c r="E20" s="117" t="s">
        <v>245</v>
      </c>
    </row>
    <row r="21" spans="1:5" ht="25.5">
      <c r="A21" s="114" t="s">
        <v>650</v>
      </c>
      <c r="B21" s="115" t="s">
        <v>579</v>
      </c>
      <c r="C21" s="116"/>
      <c r="D21" s="116"/>
      <c r="E21" s="77" t="s">
        <v>651</v>
      </c>
    </row>
    <row r="22" spans="1:5">
      <c r="A22" s="114" t="s">
        <v>652</v>
      </c>
      <c r="B22" s="115"/>
      <c r="C22" s="116"/>
      <c r="D22" s="116"/>
      <c r="E22" s="117" t="s">
        <v>250</v>
      </c>
    </row>
    <row r="23" spans="1:5" ht="25.5">
      <c r="A23" s="114" t="s">
        <v>653</v>
      </c>
      <c r="B23" s="115" t="s">
        <v>582</v>
      </c>
      <c r="C23" s="116"/>
      <c r="D23" s="116"/>
      <c r="E23" s="117" t="s">
        <v>654</v>
      </c>
    </row>
    <row r="24" spans="1:5" ht="25.5">
      <c r="A24" s="114" t="s">
        <v>655</v>
      </c>
      <c r="B24" s="115" t="s">
        <v>584</v>
      </c>
      <c r="C24" s="116"/>
      <c r="D24" s="116"/>
      <c r="E24" s="117" t="s">
        <v>656</v>
      </c>
    </row>
    <row r="25" spans="1:5" ht="25.5">
      <c r="A25" s="114" t="s">
        <v>657</v>
      </c>
      <c r="B25" s="115" t="s">
        <v>586</v>
      </c>
      <c r="C25" s="116"/>
      <c r="D25" s="116"/>
      <c r="E25" s="117" t="s">
        <v>658</v>
      </c>
    </row>
    <row r="26" spans="1:5" ht="25.5">
      <c r="A26" s="114" t="s">
        <v>659</v>
      </c>
      <c r="B26" s="115" t="s">
        <v>660</v>
      </c>
      <c r="C26" s="116"/>
      <c r="D26" s="116"/>
      <c r="E26" s="117" t="s">
        <v>661</v>
      </c>
    </row>
    <row r="27" spans="1:5">
      <c r="A27" s="114" t="s">
        <v>662</v>
      </c>
      <c r="B27" s="115" t="s">
        <v>663</v>
      </c>
      <c r="C27" s="116"/>
      <c r="D27" s="116"/>
      <c r="E27" s="117" t="s">
        <v>664</v>
      </c>
    </row>
    <row r="28" spans="1:5">
      <c r="A28" s="114" t="s">
        <v>665</v>
      </c>
      <c r="B28" s="115" t="s">
        <v>666</v>
      </c>
      <c r="C28" s="116"/>
      <c r="D28" s="116"/>
      <c r="E28" s="117" t="s">
        <v>667</v>
      </c>
    </row>
    <row r="29" spans="1:5">
      <c r="A29" s="114" t="s">
        <v>668</v>
      </c>
      <c r="B29" s="115" t="s">
        <v>669</v>
      </c>
      <c r="C29" s="116"/>
      <c r="D29" s="116"/>
      <c r="E29" s="117" t="s">
        <v>670</v>
      </c>
    </row>
    <row r="30" spans="1:5" ht="25.5">
      <c r="A30" s="114" t="s">
        <v>671</v>
      </c>
      <c r="B30" s="115" t="s">
        <v>593</v>
      </c>
      <c r="C30" s="116"/>
      <c r="D30" s="116"/>
      <c r="E30" s="77" t="s">
        <v>672</v>
      </c>
    </row>
    <row r="31" spans="1:5">
      <c r="A31" s="114" t="s">
        <v>673</v>
      </c>
      <c r="B31" s="115"/>
      <c r="C31" s="116"/>
      <c r="D31" s="116"/>
      <c r="E31" s="117" t="s">
        <v>265</v>
      </c>
    </row>
    <row r="32" spans="1:5" ht="25.5">
      <c r="A32" s="114" t="s">
        <v>674</v>
      </c>
      <c r="B32" s="115" t="s">
        <v>596</v>
      </c>
      <c r="C32" s="116"/>
      <c r="D32" s="116"/>
      <c r="E32" s="117" t="s">
        <v>267</v>
      </c>
    </row>
    <row r="33" spans="1:5" ht="25.5">
      <c r="A33" s="114" t="s">
        <v>675</v>
      </c>
      <c r="B33" s="115" t="s">
        <v>599</v>
      </c>
      <c r="C33" s="116"/>
      <c r="D33" s="116"/>
      <c r="E33" s="117" t="s">
        <v>676</v>
      </c>
    </row>
    <row r="34" spans="1:5">
      <c r="A34" s="114" t="s">
        <v>677</v>
      </c>
      <c r="B34" s="115" t="s">
        <v>678</v>
      </c>
      <c r="C34" s="116"/>
      <c r="D34" s="116"/>
      <c r="E34" s="117" t="s">
        <v>271</v>
      </c>
    </row>
    <row r="35" spans="1:5">
      <c r="A35" s="114" t="s">
        <v>679</v>
      </c>
      <c r="B35" s="115" t="s">
        <v>680</v>
      </c>
      <c r="C35" s="116"/>
      <c r="D35" s="116"/>
      <c r="E35" s="117" t="s">
        <v>681</v>
      </c>
    </row>
    <row r="36" spans="1:5">
      <c r="A36" s="114" t="s">
        <v>682</v>
      </c>
      <c r="B36" s="115" t="s">
        <v>683</v>
      </c>
      <c r="C36" s="116"/>
      <c r="D36" s="116"/>
      <c r="E36" s="117" t="s">
        <v>684</v>
      </c>
    </row>
    <row r="37" spans="1:5">
      <c r="A37" s="114" t="s">
        <v>685</v>
      </c>
      <c r="B37" s="115" t="s">
        <v>686</v>
      </c>
      <c r="C37" s="116"/>
      <c r="D37" s="116"/>
      <c r="E37" s="117" t="s">
        <v>687</v>
      </c>
    </row>
    <row r="38" spans="1:5" ht="25.5">
      <c r="A38" s="114" t="s">
        <v>688</v>
      </c>
      <c r="B38" s="115" t="s">
        <v>602</v>
      </c>
      <c r="C38" s="116"/>
      <c r="D38" s="116"/>
      <c r="E38" s="77" t="s">
        <v>689</v>
      </c>
    </row>
    <row r="39" spans="1:5">
      <c r="A39" s="114" t="s">
        <v>690</v>
      </c>
      <c r="B39" s="115" t="s">
        <v>605</v>
      </c>
      <c r="C39" s="116"/>
      <c r="D39" s="116"/>
      <c r="E39" s="77" t="s">
        <v>691</v>
      </c>
    </row>
    <row r="40" spans="1:5">
      <c r="A40" s="114" t="s">
        <v>692</v>
      </c>
      <c r="B40" s="115" t="s">
        <v>614</v>
      </c>
      <c r="C40" s="116"/>
      <c r="D40" s="116"/>
      <c r="E40" s="117" t="s">
        <v>277</v>
      </c>
    </row>
    <row r="41" spans="1:5" ht="25.5">
      <c r="A41" s="114" t="s">
        <v>693</v>
      </c>
      <c r="B41" s="115" t="s">
        <v>694</v>
      </c>
      <c r="C41" s="116"/>
      <c r="D41" s="116"/>
      <c r="E41" s="117" t="s">
        <v>279</v>
      </c>
    </row>
    <row r="42" spans="1:5">
      <c r="A42" s="118" t="s">
        <v>695</v>
      </c>
      <c r="B42" s="119" t="s">
        <v>617</v>
      </c>
      <c r="C42" s="120"/>
      <c r="D42" s="120"/>
      <c r="E42" s="79" t="s">
        <v>696</v>
      </c>
    </row>
  </sheetData>
  <conditionalFormatting sqref="A30:E30 A38:E38 A42:E42">
    <cfRule type="expression" dxfId="96" priority="197">
      <formula>OR(#REF!&lt;&gt;0,#REF!&lt;&gt;0)</formula>
    </cfRule>
  </conditionalFormatting>
  <conditionalFormatting sqref="A11:E11">
    <cfRule type="expression" dxfId="95" priority="198">
      <formula>SUM(#REF!,#REF!)&lt;&gt;0</formula>
    </cfRule>
  </conditionalFormatting>
  <conditionalFormatting sqref="A21:E21">
    <cfRule type="expression" dxfId="94" priority="199">
      <formula>SUM(#REF!,#REF!)&lt;&gt;0</formula>
    </cfRule>
  </conditionalFormatting>
  <conditionalFormatting sqref="A39:E39">
    <cfRule type="expression" dxfId="93" priority="202">
      <formula>SUM(#REF!,#REF!)&lt;&gt;0</formula>
    </cfRule>
  </conditionalFormatting>
  <dataValidations count="1">
    <dataValidation allowBlank="1" showInputMessage="1" showErrorMessage="1" errorTitle="Sai định dạng" error="Kiểm tra lại các giá trị đã nhập. Vui lòng nhập giá trị dạng số " sqref="C2:D42" xr:uid="{00000000-0002-0000-0600-000000000000}"/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zoomScale="90" zoomScaleNormal="90" workbookViewId="0">
      <selection activeCell="K12" sqref="K12"/>
    </sheetView>
  </sheetViews>
  <sheetFormatPr defaultRowHeight="15"/>
  <cols>
    <col min="1" max="1" width="13.28515625" style="32" bestFit="1" customWidth="1"/>
    <col min="2" max="2" width="6.7109375" style="69" customWidth="1"/>
    <col min="3" max="3" width="20.140625" style="69" customWidth="1"/>
    <col min="4" max="4" width="20.85546875" style="69" customWidth="1"/>
    <col min="5" max="5" width="43" style="71" customWidth="1"/>
    <col min="6" max="16384" width="9.140625" style="32"/>
  </cols>
  <sheetData>
    <row r="1" spans="1:5">
      <c r="A1" s="67" t="s">
        <v>0</v>
      </c>
      <c r="B1" s="68" t="s">
        <v>1</v>
      </c>
      <c r="C1" s="70" t="s">
        <v>2</v>
      </c>
      <c r="D1" s="70" t="s">
        <v>3</v>
      </c>
      <c r="E1" s="51" t="s">
        <v>4</v>
      </c>
    </row>
    <row r="2" spans="1:5">
      <c r="A2" s="72" t="s">
        <v>697</v>
      </c>
      <c r="B2" s="73"/>
      <c r="C2" s="80"/>
      <c r="D2" s="80"/>
      <c r="E2" s="74" t="s">
        <v>202</v>
      </c>
    </row>
    <row r="3" spans="1:5" ht="25.5">
      <c r="A3" s="75" t="s">
        <v>698</v>
      </c>
      <c r="B3" s="76" t="s">
        <v>149</v>
      </c>
      <c r="C3" s="81"/>
      <c r="D3" s="81"/>
      <c r="E3" s="78" t="s">
        <v>284</v>
      </c>
    </row>
    <row r="4" spans="1:5" ht="25.5">
      <c r="A4" s="75" t="s">
        <v>699</v>
      </c>
      <c r="B4" s="76" t="s">
        <v>153</v>
      </c>
      <c r="C4" s="81"/>
      <c r="D4" s="81"/>
      <c r="E4" s="78" t="s">
        <v>700</v>
      </c>
    </row>
    <row r="5" spans="1:5">
      <c r="A5" s="75" t="s">
        <v>701</v>
      </c>
      <c r="B5" s="76" t="s">
        <v>208</v>
      </c>
      <c r="C5" s="81"/>
      <c r="D5" s="81"/>
      <c r="E5" s="78" t="s">
        <v>288</v>
      </c>
    </row>
    <row r="6" spans="1:5">
      <c r="A6" s="75" t="s">
        <v>702</v>
      </c>
      <c r="B6" s="76" t="s">
        <v>211</v>
      </c>
      <c r="C6" s="81"/>
      <c r="D6" s="81"/>
      <c r="E6" s="78" t="s">
        <v>290</v>
      </c>
    </row>
    <row r="7" spans="1:5">
      <c r="A7" s="75" t="s">
        <v>703</v>
      </c>
      <c r="B7" s="76" t="s">
        <v>214</v>
      </c>
      <c r="C7" s="81"/>
      <c r="D7" s="81"/>
      <c r="E7" s="78" t="s">
        <v>292</v>
      </c>
    </row>
    <row r="8" spans="1:5">
      <c r="A8" s="75" t="s">
        <v>704</v>
      </c>
      <c r="B8" s="76" t="s">
        <v>217</v>
      </c>
      <c r="C8" s="81"/>
      <c r="D8" s="81"/>
      <c r="E8" s="78" t="s">
        <v>294</v>
      </c>
    </row>
    <row r="9" spans="1:5">
      <c r="A9" s="75" t="s">
        <v>705</v>
      </c>
      <c r="B9" s="76" t="s">
        <v>220</v>
      </c>
      <c r="C9" s="81"/>
      <c r="D9" s="81"/>
      <c r="E9" s="78" t="s">
        <v>296</v>
      </c>
    </row>
    <row r="10" spans="1:5" ht="25.5">
      <c r="A10" s="82" t="s">
        <v>706</v>
      </c>
      <c r="B10" s="83" t="s">
        <v>579</v>
      </c>
      <c r="C10" s="81"/>
      <c r="D10" s="81"/>
      <c r="E10" s="77" t="s">
        <v>298</v>
      </c>
    </row>
    <row r="11" spans="1:5">
      <c r="A11" s="75" t="s">
        <v>707</v>
      </c>
      <c r="B11" s="76"/>
      <c r="C11" s="81"/>
      <c r="D11" s="81"/>
      <c r="E11" s="78" t="s">
        <v>250</v>
      </c>
    </row>
    <row r="12" spans="1:5" ht="25.5">
      <c r="A12" s="75" t="s">
        <v>708</v>
      </c>
      <c r="B12" s="76" t="s">
        <v>582</v>
      </c>
      <c r="C12" s="81"/>
      <c r="D12" s="81"/>
      <c r="E12" s="78" t="s">
        <v>654</v>
      </c>
    </row>
    <row r="13" spans="1:5" ht="25.5">
      <c r="A13" s="75" t="s">
        <v>709</v>
      </c>
      <c r="B13" s="76" t="s">
        <v>584</v>
      </c>
      <c r="C13" s="81"/>
      <c r="D13" s="81"/>
      <c r="E13" s="78" t="s">
        <v>656</v>
      </c>
    </row>
    <row r="14" spans="1:5" ht="25.5">
      <c r="A14" s="75" t="s">
        <v>710</v>
      </c>
      <c r="B14" s="76" t="s">
        <v>586</v>
      </c>
      <c r="C14" s="81"/>
      <c r="D14" s="81"/>
      <c r="E14" s="78" t="s">
        <v>658</v>
      </c>
    </row>
    <row r="15" spans="1:5" ht="25.5">
      <c r="A15" s="75" t="s">
        <v>711</v>
      </c>
      <c r="B15" s="76" t="s">
        <v>660</v>
      </c>
      <c r="C15" s="81"/>
      <c r="D15" s="81"/>
      <c r="E15" s="78" t="s">
        <v>661</v>
      </c>
    </row>
    <row r="16" spans="1:5">
      <c r="A16" s="75" t="s">
        <v>712</v>
      </c>
      <c r="B16" s="76" t="s">
        <v>663</v>
      </c>
      <c r="C16" s="81"/>
      <c r="D16" s="81"/>
      <c r="E16" s="78" t="s">
        <v>664</v>
      </c>
    </row>
    <row r="17" spans="1:5">
      <c r="A17" s="75" t="s">
        <v>713</v>
      </c>
      <c r="B17" s="76" t="s">
        <v>666</v>
      </c>
      <c r="C17" s="81"/>
      <c r="D17" s="81"/>
      <c r="E17" s="78" t="s">
        <v>667</v>
      </c>
    </row>
    <row r="18" spans="1:5">
      <c r="A18" s="75" t="s">
        <v>714</v>
      </c>
      <c r="B18" s="76" t="s">
        <v>669</v>
      </c>
      <c r="C18" s="81"/>
      <c r="D18" s="81"/>
      <c r="E18" s="78" t="s">
        <v>670</v>
      </c>
    </row>
    <row r="19" spans="1:5" ht="25.5">
      <c r="A19" s="82" t="s">
        <v>715</v>
      </c>
      <c r="B19" s="83" t="s">
        <v>593</v>
      </c>
      <c r="C19" s="81"/>
      <c r="D19" s="81"/>
      <c r="E19" s="77" t="s">
        <v>672</v>
      </c>
    </row>
    <row r="20" spans="1:5">
      <c r="A20" s="75" t="s">
        <v>716</v>
      </c>
      <c r="B20" s="76"/>
      <c r="C20" s="81"/>
      <c r="D20" s="81"/>
      <c r="E20" s="78" t="s">
        <v>265</v>
      </c>
    </row>
    <row r="21" spans="1:5" ht="25.5">
      <c r="A21" s="75" t="s">
        <v>717</v>
      </c>
      <c r="B21" s="76" t="s">
        <v>596</v>
      </c>
      <c r="C21" s="81"/>
      <c r="D21" s="81"/>
      <c r="E21" s="78" t="s">
        <v>267</v>
      </c>
    </row>
    <row r="22" spans="1:5" ht="25.5">
      <c r="A22" s="75" t="s">
        <v>718</v>
      </c>
      <c r="B22" s="76" t="s">
        <v>599</v>
      </c>
      <c r="C22" s="81"/>
      <c r="D22" s="81"/>
      <c r="E22" s="78" t="s">
        <v>676</v>
      </c>
    </row>
    <row r="23" spans="1:5">
      <c r="A23" s="75" t="s">
        <v>719</v>
      </c>
      <c r="B23" s="76" t="s">
        <v>678</v>
      </c>
      <c r="C23" s="81"/>
      <c r="D23" s="81"/>
      <c r="E23" s="78" t="s">
        <v>271</v>
      </c>
    </row>
    <row r="24" spans="1:5">
      <c r="A24" s="75" t="s">
        <v>720</v>
      </c>
      <c r="B24" s="76" t="s">
        <v>680</v>
      </c>
      <c r="C24" s="81"/>
      <c r="D24" s="81"/>
      <c r="E24" s="78" t="s">
        <v>681</v>
      </c>
    </row>
    <row r="25" spans="1:5">
      <c r="A25" s="75" t="s">
        <v>721</v>
      </c>
      <c r="B25" s="76" t="s">
        <v>683</v>
      </c>
      <c r="C25" s="81"/>
      <c r="D25" s="81"/>
      <c r="E25" s="78" t="s">
        <v>684</v>
      </c>
    </row>
    <row r="26" spans="1:5">
      <c r="A26" s="75" t="s">
        <v>722</v>
      </c>
      <c r="B26" s="76" t="s">
        <v>686</v>
      </c>
      <c r="C26" s="81"/>
      <c r="D26" s="81"/>
      <c r="E26" s="78" t="s">
        <v>687</v>
      </c>
    </row>
    <row r="27" spans="1:5" ht="25.5">
      <c r="A27" s="82" t="s">
        <v>723</v>
      </c>
      <c r="B27" s="83" t="s">
        <v>602</v>
      </c>
      <c r="C27" s="81"/>
      <c r="D27" s="81"/>
      <c r="E27" s="77" t="s">
        <v>689</v>
      </c>
    </row>
    <row r="28" spans="1:5">
      <c r="A28" s="82" t="s">
        <v>724</v>
      </c>
      <c r="B28" s="83" t="s">
        <v>605</v>
      </c>
      <c r="C28" s="81"/>
      <c r="D28" s="81"/>
      <c r="E28" s="77" t="s">
        <v>691</v>
      </c>
    </row>
    <row r="29" spans="1:5">
      <c r="A29" s="75" t="s">
        <v>725</v>
      </c>
      <c r="B29" s="76" t="s">
        <v>614</v>
      </c>
      <c r="C29" s="81"/>
      <c r="D29" s="81"/>
      <c r="E29" s="78" t="s">
        <v>277</v>
      </c>
    </row>
    <row r="30" spans="1:5" ht="25.5">
      <c r="A30" s="75" t="s">
        <v>726</v>
      </c>
      <c r="B30" s="76" t="s">
        <v>694</v>
      </c>
      <c r="C30" s="81"/>
      <c r="D30" s="81"/>
      <c r="E30" s="78" t="s">
        <v>279</v>
      </c>
    </row>
    <row r="31" spans="1:5" ht="34.5" customHeight="1">
      <c r="A31" s="84" t="s">
        <v>727</v>
      </c>
      <c r="B31" s="85" t="s">
        <v>617</v>
      </c>
      <c r="C31" s="86"/>
      <c r="D31" s="86"/>
      <c r="E31" s="79" t="s">
        <v>696</v>
      </c>
    </row>
  </sheetData>
  <conditionalFormatting sqref="A31:E31">
    <cfRule type="expression" dxfId="92" priority="203">
      <formula>OR(#REF!&lt;&gt;0,#REF!&lt;&gt;0)</formula>
    </cfRule>
  </conditionalFormatting>
  <conditionalFormatting sqref="A10:E10">
    <cfRule type="expression" dxfId="91" priority="204">
      <formula>SUM(#REF!,#REF!)&lt;&gt;0</formula>
    </cfRule>
  </conditionalFormatting>
  <conditionalFormatting sqref="A19:E19">
    <cfRule type="expression" dxfId="90" priority="205">
      <formula>SUM(#REF!,#REF!)&lt;&gt;0</formula>
    </cfRule>
  </conditionalFormatting>
  <conditionalFormatting sqref="A27:E27">
    <cfRule type="expression" dxfId="89" priority="206">
      <formula>SUM(#REF!,#REF!)&lt;&gt;0</formula>
    </cfRule>
  </conditionalFormatting>
  <conditionalFormatting sqref="A28:E28">
    <cfRule type="expression" dxfId="88" priority="207">
      <formula>SUM(#REF!,#REF!)&lt;&gt;0</formula>
    </cfRule>
  </conditionalFormatting>
  <dataValidations count="1">
    <dataValidation allowBlank="1" showInputMessage="1" showErrorMessage="1" errorTitle="Sai định dạng nhập vào" error="Kiểm tra lại các giá trị đã nhập. Vui lòng nhập giá trị dạng số " sqref="C2:D31" xr:uid="{00000000-0002-0000-0700-000000000000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29"/>
  <sheetViews>
    <sheetView zoomScale="80" zoomScaleNormal="80" workbookViewId="0">
      <selection activeCell="F5" sqref="F5"/>
    </sheetView>
  </sheetViews>
  <sheetFormatPr defaultColWidth="9.140625" defaultRowHeight="15"/>
  <cols>
    <col min="1" max="1" width="13.7109375" style="145" bestFit="1" customWidth="1"/>
    <col min="2" max="2" width="7" style="31" bestFit="1" customWidth="1"/>
    <col min="3" max="3" width="21.85546875" style="20" bestFit="1" customWidth="1"/>
    <col min="4" max="4" width="22.7109375" style="20" bestFit="1" customWidth="1"/>
    <col min="5" max="5" width="63.42578125" style="12" bestFit="1" customWidth="1"/>
    <col min="7" max="7" width="9.140625" style="15"/>
    <col min="8" max="8" width="73.7109375" style="15" bestFit="1" customWidth="1"/>
    <col min="9" max="14" width="9.140625" style="15"/>
    <col min="15" max="16384" width="9.140625" style="12"/>
  </cols>
  <sheetData>
    <row r="1" spans="1:14" s="17" customFormat="1">
      <c r="A1" s="21" t="s">
        <v>0</v>
      </c>
      <c r="B1" s="21" t="s">
        <v>1</v>
      </c>
      <c r="C1" s="25" t="s">
        <v>2</v>
      </c>
      <c r="D1" s="25" t="s">
        <v>3</v>
      </c>
      <c r="E1" s="21" t="s">
        <v>4</v>
      </c>
      <c r="G1" s="15"/>
      <c r="H1" s="15"/>
      <c r="I1" s="16"/>
      <c r="J1" s="16"/>
      <c r="K1" s="16"/>
      <c r="L1" s="16"/>
      <c r="M1" s="16"/>
      <c r="N1" s="16"/>
    </row>
    <row r="2" spans="1:14" s="17" customFormat="1" ht="18.75">
      <c r="A2" s="141" t="s">
        <v>728</v>
      </c>
      <c r="B2" s="134" t="s">
        <v>729</v>
      </c>
      <c r="C2" s="89"/>
      <c r="D2" s="89"/>
      <c r="E2" s="123" t="s">
        <v>6</v>
      </c>
      <c r="F2" s="17" t="s">
        <v>730</v>
      </c>
      <c r="G2" s="15"/>
      <c r="H2" s="165"/>
      <c r="I2" s="16"/>
      <c r="J2" s="16"/>
      <c r="K2" s="16"/>
      <c r="L2" s="16"/>
      <c r="M2" s="16"/>
      <c r="N2" s="16"/>
    </row>
    <row r="3" spans="1:14" ht="18.75">
      <c r="A3" s="142" t="s">
        <v>731</v>
      </c>
      <c r="B3" s="135" t="s">
        <v>732</v>
      </c>
      <c r="C3" s="93"/>
      <c r="D3" s="98"/>
      <c r="E3" s="124" t="s">
        <v>323</v>
      </c>
      <c r="F3" t="s">
        <v>733</v>
      </c>
      <c r="H3" s="165"/>
    </row>
    <row r="4" spans="1:14" ht="18.75">
      <c r="A4" s="143" t="s">
        <v>734</v>
      </c>
      <c r="B4" s="136" t="s">
        <v>735</v>
      </c>
      <c r="C4" s="93"/>
      <c r="D4" s="98"/>
      <c r="E4" s="125" t="s">
        <v>736</v>
      </c>
      <c r="H4" s="165"/>
    </row>
    <row r="5" spans="1:14" ht="18.75">
      <c r="A5" s="143" t="s">
        <v>737</v>
      </c>
      <c r="B5" s="136" t="s">
        <v>738</v>
      </c>
      <c r="C5" s="93"/>
      <c r="D5" s="98"/>
      <c r="E5" s="125" t="s">
        <v>328</v>
      </c>
      <c r="H5" s="165"/>
    </row>
    <row r="6" spans="1:14" ht="18.75">
      <c r="A6" s="142" t="s">
        <v>739</v>
      </c>
      <c r="B6" s="135" t="s">
        <v>740</v>
      </c>
      <c r="C6" s="93"/>
      <c r="D6" s="98"/>
      <c r="E6" s="124" t="s">
        <v>330</v>
      </c>
      <c r="F6" t="s">
        <v>741</v>
      </c>
      <c r="H6" s="165"/>
    </row>
    <row r="7" spans="1:14" ht="18.75">
      <c r="A7" s="143" t="s">
        <v>742</v>
      </c>
      <c r="B7" s="136" t="s">
        <v>743</v>
      </c>
      <c r="C7" s="93"/>
      <c r="D7" s="98"/>
      <c r="E7" s="125" t="s">
        <v>333</v>
      </c>
      <c r="H7" s="165"/>
    </row>
    <row r="8" spans="1:14" ht="18.75">
      <c r="A8" s="132" t="s">
        <v>744</v>
      </c>
      <c r="B8" s="137" t="s">
        <v>745</v>
      </c>
      <c r="C8" s="98"/>
      <c r="D8" s="98"/>
      <c r="E8" s="130" t="s">
        <v>746</v>
      </c>
      <c r="H8" s="165"/>
    </row>
    <row r="9" spans="1:14" ht="18.75">
      <c r="A9" s="143" t="s">
        <v>747</v>
      </c>
      <c r="B9" s="136" t="s">
        <v>748</v>
      </c>
      <c r="C9" s="93"/>
      <c r="D9" s="98"/>
      <c r="E9" s="125" t="s">
        <v>749</v>
      </c>
      <c r="H9" s="166"/>
    </row>
    <row r="10" spans="1:14" ht="18.75">
      <c r="A10" s="143" t="s">
        <v>750</v>
      </c>
      <c r="B10" s="136" t="s">
        <v>751</v>
      </c>
      <c r="C10" s="93"/>
      <c r="D10" s="98"/>
      <c r="E10" s="125" t="s">
        <v>752</v>
      </c>
      <c r="H10" s="165"/>
    </row>
    <row r="11" spans="1:14" ht="18.75">
      <c r="A11" s="143" t="s">
        <v>753</v>
      </c>
      <c r="B11" s="136" t="s">
        <v>754</v>
      </c>
      <c r="C11" s="93"/>
      <c r="D11" s="98"/>
      <c r="E11" s="125" t="s">
        <v>755</v>
      </c>
      <c r="H11" s="165"/>
    </row>
    <row r="12" spans="1:14" ht="18.75">
      <c r="A12" s="143" t="s">
        <v>756</v>
      </c>
      <c r="B12" s="136" t="s">
        <v>757</v>
      </c>
      <c r="C12" s="93"/>
      <c r="D12" s="98"/>
      <c r="E12" s="125" t="s">
        <v>758</v>
      </c>
      <c r="H12" s="165"/>
    </row>
    <row r="13" spans="1:14" ht="18.75">
      <c r="A13" s="142" t="s">
        <v>759</v>
      </c>
      <c r="B13" s="135" t="s">
        <v>760</v>
      </c>
      <c r="C13" s="93"/>
      <c r="D13" s="98"/>
      <c r="E13" s="124" t="s">
        <v>339</v>
      </c>
      <c r="F13" t="s">
        <v>761</v>
      </c>
      <c r="H13" s="165"/>
    </row>
    <row r="14" spans="1:14" ht="18.75">
      <c r="A14" s="143" t="s">
        <v>762</v>
      </c>
      <c r="B14" s="136" t="s">
        <v>763</v>
      </c>
      <c r="C14" s="93"/>
      <c r="D14" s="98"/>
      <c r="E14" s="125" t="s">
        <v>764</v>
      </c>
      <c r="H14" s="165"/>
    </row>
    <row r="15" spans="1:14" ht="18.75">
      <c r="A15" s="143" t="s">
        <v>765</v>
      </c>
      <c r="B15" s="136" t="s">
        <v>766</v>
      </c>
      <c r="C15" s="93"/>
      <c r="D15" s="98"/>
      <c r="E15" s="125" t="s">
        <v>344</v>
      </c>
      <c r="H15" s="165"/>
    </row>
    <row r="16" spans="1:14" ht="18.75">
      <c r="A16" s="143" t="s">
        <v>767</v>
      </c>
      <c r="B16" s="136" t="s">
        <v>768</v>
      </c>
      <c r="C16" s="93"/>
      <c r="D16" s="98"/>
      <c r="E16" s="125" t="s">
        <v>346</v>
      </c>
      <c r="H16" s="165"/>
    </row>
    <row r="17" spans="1:14" ht="18.75">
      <c r="A17" s="143" t="s">
        <v>769</v>
      </c>
      <c r="B17" s="136" t="s">
        <v>770</v>
      </c>
      <c r="C17" s="93"/>
      <c r="D17" s="98"/>
      <c r="E17" s="125" t="s">
        <v>771</v>
      </c>
      <c r="H17" s="165"/>
    </row>
    <row r="18" spans="1:14" ht="18.75">
      <c r="A18" s="143" t="s">
        <v>772</v>
      </c>
      <c r="B18" s="136" t="s">
        <v>773</v>
      </c>
      <c r="C18" s="93"/>
      <c r="D18" s="98"/>
      <c r="E18" s="125" t="s">
        <v>774</v>
      </c>
      <c r="H18" s="165"/>
    </row>
    <row r="19" spans="1:14" ht="18.75">
      <c r="A19" s="143" t="s">
        <v>775</v>
      </c>
      <c r="B19" s="136" t="s">
        <v>776</v>
      </c>
      <c r="C19" s="93"/>
      <c r="D19" s="98"/>
      <c r="E19" s="125" t="s">
        <v>777</v>
      </c>
      <c r="H19" s="165"/>
    </row>
    <row r="20" spans="1:14" s="17" customFormat="1" ht="18.75">
      <c r="A20" s="132" t="s">
        <v>778</v>
      </c>
      <c r="B20" s="137" t="s">
        <v>779</v>
      </c>
      <c r="C20" s="98"/>
      <c r="D20" s="98"/>
      <c r="E20" s="130" t="s">
        <v>780</v>
      </c>
      <c r="F20"/>
      <c r="G20" s="15"/>
      <c r="H20" s="165"/>
      <c r="I20" s="16"/>
      <c r="J20" s="16"/>
      <c r="K20" s="16"/>
      <c r="L20" s="16"/>
      <c r="M20" s="16"/>
      <c r="N20" s="16"/>
    </row>
    <row r="21" spans="1:14" s="17" customFormat="1" ht="18.75">
      <c r="A21" s="127" t="s">
        <v>781</v>
      </c>
      <c r="B21" s="138" t="s">
        <v>782</v>
      </c>
      <c r="C21" s="98"/>
      <c r="D21" s="98"/>
      <c r="E21" s="126" t="s">
        <v>358</v>
      </c>
      <c r="F21" t="s">
        <v>783</v>
      </c>
      <c r="G21" s="15"/>
      <c r="H21" s="165"/>
      <c r="I21" s="16"/>
      <c r="J21" s="16"/>
      <c r="K21" s="16"/>
      <c r="L21" s="16"/>
      <c r="M21" s="16"/>
      <c r="N21" s="16"/>
    </row>
    <row r="22" spans="1:14" ht="18.75">
      <c r="A22" s="143" t="s">
        <v>784</v>
      </c>
      <c r="B22" s="136" t="s">
        <v>785</v>
      </c>
      <c r="C22" s="93"/>
      <c r="D22" s="98"/>
      <c r="E22" s="125" t="s">
        <v>361</v>
      </c>
      <c r="H22" s="167"/>
    </row>
    <row r="23" spans="1:14" ht="18.75">
      <c r="A23" s="143" t="s">
        <v>786</v>
      </c>
      <c r="B23" s="136" t="s">
        <v>787</v>
      </c>
      <c r="C23" s="93"/>
      <c r="D23" s="98"/>
      <c r="E23" s="125" t="s">
        <v>363</v>
      </c>
      <c r="H23" s="165"/>
    </row>
    <row r="24" spans="1:14" ht="18.75">
      <c r="A24" s="142" t="s">
        <v>788</v>
      </c>
      <c r="B24" s="135" t="s">
        <v>789</v>
      </c>
      <c r="C24" s="93"/>
      <c r="D24" s="98"/>
      <c r="E24" s="124" t="s">
        <v>790</v>
      </c>
      <c r="F24" t="s">
        <v>791</v>
      </c>
      <c r="H24" s="165"/>
    </row>
    <row r="25" spans="1:14" ht="18.75">
      <c r="A25" s="143" t="s">
        <v>792</v>
      </c>
      <c r="B25" s="136" t="s">
        <v>793</v>
      </c>
      <c r="C25" s="93"/>
      <c r="D25" s="98"/>
      <c r="E25" s="125" t="s">
        <v>794</v>
      </c>
      <c r="H25" s="165"/>
    </row>
    <row r="26" spans="1:14">
      <c r="A26" s="143" t="s">
        <v>795</v>
      </c>
      <c r="B26" s="136" t="s">
        <v>796</v>
      </c>
      <c r="C26" s="93"/>
      <c r="D26" s="98"/>
      <c r="E26" s="125" t="s">
        <v>797</v>
      </c>
      <c r="H26"/>
    </row>
    <row r="27" spans="1:14" ht="18.75">
      <c r="A27" s="143" t="s">
        <v>798</v>
      </c>
      <c r="B27" s="136" t="s">
        <v>799</v>
      </c>
      <c r="C27" s="93"/>
      <c r="D27" s="98"/>
      <c r="E27" s="125" t="s">
        <v>800</v>
      </c>
      <c r="H27" s="165"/>
    </row>
    <row r="28" spans="1:14" ht="18.75">
      <c r="A28" s="142" t="s">
        <v>801</v>
      </c>
      <c r="B28" s="135" t="s">
        <v>802</v>
      </c>
      <c r="C28" s="93"/>
      <c r="D28" s="98"/>
      <c r="E28" s="124" t="s">
        <v>803</v>
      </c>
      <c r="F28" t="s">
        <v>804</v>
      </c>
      <c r="H28" s="165"/>
    </row>
    <row r="29" spans="1:14" ht="18.75">
      <c r="A29" s="143" t="s">
        <v>805</v>
      </c>
      <c r="B29" s="136" t="s">
        <v>806</v>
      </c>
      <c r="C29" s="93"/>
      <c r="D29" s="98"/>
      <c r="E29" s="125" t="s">
        <v>807</v>
      </c>
      <c r="H29" s="165"/>
    </row>
    <row r="30" spans="1:14" ht="18.75">
      <c r="A30" s="143" t="s">
        <v>808</v>
      </c>
      <c r="B30" s="136" t="s">
        <v>809</v>
      </c>
      <c r="C30" s="93"/>
      <c r="D30" s="98"/>
      <c r="E30" s="125" t="s">
        <v>370</v>
      </c>
      <c r="H30" s="165"/>
    </row>
    <row r="31" spans="1:14" ht="18.75">
      <c r="A31" s="143" t="s">
        <v>810</v>
      </c>
      <c r="B31" s="136" t="s">
        <v>811</v>
      </c>
      <c r="C31" s="93"/>
      <c r="D31" s="98"/>
      <c r="E31" s="125" t="s">
        <v>372</v>
      </c>
      <c r="H31" s="167"/>
    </row>
    <row r="32" spans="1:14">
      <c r="A32" s="143" t="s">
        <v>812</v>
      </c>
      <c r="B32" s="136" t="s">
        <v>813</v>
      </c>
      <c r="C32" s="93"/>
      <c r="D32" s="98"/>
      <c r="E32" s="125" t="s">
        <v>374</v>
      </c>
    </row>
    <row r="33" spans="1:14">
      <c r="A33" s="143" t="s">
        <v>814</v>
      </c>
      <c r="B33" s="136" t="s">
        <v>815</v>
      </c>
      <c r="C33" s="93"/>
      <c r="D33" s="98"/>
      <c r="E33" s="125" t="s">
        <v>376</v>
      </c>
    </row>
    <row r="34" spans="1:14">
      <c r="A34" s="142" t="s">
        <v>816</v>
      </c>
      <c r="B34" s="135" t="s">
        <v>817</v>
      </c>
      <c r="C34" s="93"/>
      <c r="D34" s="98"/>
      <c r="E34" s="124" t="s">
        <v>45</v>
      </c>
      <c r="F34" t="s">
        <v>818</v>
      </c>
    </row>
    <row r="35" spans="1:14">
      <c r="A35" s="142" t="s">
        <v>819</v>
      </c>
      <c r="B35" s="135" t="s">
        <v>820</v>
      </c>
      <c r="C35" s="93"/>
      <c r="D35" s="98"/>
      <c r="E35" s="124" t="s">
        <v>821</v>
      </c>
      <c r="F35" t="s">
        <v>822</v>
      </c>
    </row>
    <row r="36" spans="1:14">
      <c r="A36" s="143" t="s">
        <v>823</v>
      </c>
      <c r="B36" s="136" t="s">
        <v>824</v>
      </c>
      <c r="C36" s="93"/>
      <c r="D36" s="98"/>
      <c r="E36" s="125" t="s">
        <v>382</v>
      </c>
    </row>
    <row r="37" spans="1:14">
      <c r="A37" s="143" t="s">
        <v>825</v>
      </c>
      <c r="B37" s="136" t="s">
        <v>826</v>
      </c>
      <c r="C37" s="93"/>
      <c r="D37" s="98"/>
      <c r="E37" s="125" t="s">
        <v>384</v>
      </c>
    </row>
    <row r="38" spans="1:14">
      <c r="A38" s="143" t="s">
        <v>827</v>
      </c>
      <c r="B38" s="136" t="s">
        <v>828</v>
      </c>
      <c r="C38" s="93"/>
      <c r="D38" s="98"/>
      <c r="E38" s="125" t="s">
        <v>386</v>
      </c>
    </row>
    <row r="39" spans="1:14">
      <c r="A39" s="143" t="s">
        <v>829</v>
      </c>
      <c r="B39" s="136" t="s">
        <v>830</v>
      </c>
      <c r="C39" s="93"/>
      <c r="D39" s="98"/>
      <c r="E39" s="125" t="s">
        <v>388</v>
      </c>
    </row>
    <row r="40" spans="1:14">
      <c r="A40" s="131" t="s">
        <v>831</v>
      </c>
      <c r="B40" s="139" t="s">
        <v>832</v>
      </c>
      <c r="C40" s="93"/>
      <c r="D40" s="98"/>
      <c r="E40" s="131" t="s">
        <v>833</v>
      </c>
    </row>
    <row r="41" spans="1:14" s="17" customFormat="1">
      <c r="A41" s="132" t="s">
        <v>834</v>
      </c>
      <c r="B41" s="137" t="s">
        <v>835</v>
      </c>
      <c r="C41" s="98"/>
      <c r="D41" s="98"/>
      <c r="E41" s="130" t="s">
        <v>836</v>
      </c>
      <c r="F41"/>
      <c r="G41" s="15"/>
      <c r="H41" s="15"/>
      <c r="I41" s="16"/>
      <c r="J41" s="16"/>
      <c r="K41" s="16"/>
      <c r="L41" s="16"/>
      <c r="M41" s="16"/>
      <c r="N41" s="16"/>
    </row>
    <row r="42" spans="1:14">
      <c r="A42" s="142" t="s">
        <v>837</v>
      </c>
      <c r="B42" s="135" t="s">
        <v>838</v>
      </c>
      <c r="C42" s="93"/>
      <c r="D42" s="98"/>
      <c r="E42" s="124" t="s">
        <v>396</v>
      </c>
      <c r="F42" t="s">
        <v>839</v>
      </c>
    </row>
    <row r="43" spans="1:14">
      <c r="A43" s="143" t="s">
        <v>840</v>
      </c>
      <c r="B43" s="136" t="s">
        <v>841</v>
      </c>
      <c r="C43" s="93"/>
      <c r="D43" s="98"/>
      <c r="E43" s="125" t="s">
        <v>399</v>
      </c>
      <c r="F43" t="s">
        <v>842</v>
      </c>
    </row>
    <row r="44" spans="1:14">
      <c r="A44" s="143" t="s">
        <v>843</v>
      </c>
      <c r="B44" s="136" t="s">
        <v>844</v>
      </c>
      <c r="C44" s="93"/>
      <c r="D44" s="98"/>
      <c r="E44" s="125" t="s">
        <v>845</v>
      </c>
    </row>
    <row r="45" spans="1:14">
      <c r="A45" s="143" t="s">
        <v>846</v>
      </c>
      <c r="B45" s="136" t="s">
        <v>847</v>
      </c>
      <c r="C45" s="93"/>
      <c r="D45" s="98"/>
      <c r="E45" s="125" t="s">
        <v>848</v>
      </c>
    </row>
    <row r="46" spans="1:14">
      <c r="A46" s="143" t="s">
        <v>849</v>
      </c>
      <c r="B46" s="136" t="s">
        <v>850</v>
      </c>
      <c r="C46" s="93"/>
      <c r="D46" s="98"/>
      <c r="E46" s="125" t="s">
        <v>406</v>
      </c>
      <c r="F46" t="s">
        <v>851</v>
      </c>
    </row>
    <row r="47" spans="1:14">
      <c r="A47" s="143" t="s">
        <v>852</v>
      </c>
      <c r="B47" s="136" t="s">
        <v>853</v>
      </c>
      <c r="C47" s="93"/>
      <c r="D47" s="98"/>
      <c r="E47" s="125" t="s">
        <v>845</v>
      </c>
    </row>
    <row r="48" spans="1:14">
      <c r="A48" s="143" t="s">
        <v>854</v>
      </c>
      <c r="B48" s="136" t="s">
        <v>855</v>
      </c>
      <c r="C48" s="93"/>
      <c r="D48" s="98"/>
      <c r="E48" s="125" t="s">
        <v>848</v>
      </c>
    </row>
    <row r="49" spans="1:14">
      <c r="A49" s="143" t="s">
        <v>856</v>
      </c>
      <c r="B49" s="136" t="s">
        <v>857</v>
      </c>
      <c r="C49" s="93"/>
      <c r="D49" s="98"/>
      <c r="E49" s="125" t="s">
        <v>411</v>
      </c>
      <c r="F49" t="s">
        <v>858</v>
      </c>
    </row>
    <row r="50" spans="1:14" s="17" customFormat="1">
      <c r="A50" s="132" t="s">
        <v>859</v>
      </c>
      <c r="B50" s="137" t="s">
        <v>860</v>
      </c>
      <c r="C50" s="98"/>
      <c r="D50" s="98"/>
      <c r="E50" s="130" t="s">
        <v>845</v>
      </c>
      <c r="G50" s="16"/>
      <c r="H50" s="15"/>
      <c r="I50" s="16"/>
      <c r="J50" s="16"/>
      <c r="K50" s="16"/>
      <c r="L50" s="16"/>
      <c r="M50" s="16"/>
      <c r="N50" s="16"/>
    </row>
    <row r="51" spans="1:14">
      <c r="A51" s="143" t="s">
        <v>861</v>
      </c>
      <c r="B51" s="136" t="s">
        <v>862</v>
      </c>
      <c r="C51" s="93"/>
      <c r="D51" s="98"/>
      <c r="E51" s="125" t="s">
        <v>848</v>
      </c>
    </row>
    <row r="52" spans="1:14">
      <c r="A52" s="142" t="s">
        <v>863</v>
      </c>
      <c r="B52" s="135" t="s">
        <v>864</v>
      </c>
      <c r="C52" s="93"/>
      <c r="D52" s="98"/>
      <c r="E52" s="124" t="s">
        <v>865</v>
      </c>
      <c r="F52" t="s">
        <v>866</v>
      </c>
    </row>
    <row r="53" spans="1:14">
      <c r="A53" s="143" t="s">
        <v>867</v>
      </c>
      <c r="B53" s="136" t="s">
        <v>868</v>
      </c>
      <c r="C53" s="93"/>
      <c r="D53" s="98"/>
      <c r="E53" s="125" t="s">
        <v>869</v>
      </c>
      <c r="F53" t="s">
        <v>870</v>
      </c>
    </row>
    <row r="54" spans="1:14">
      <c r="A54" s="143" t="s">
        <v>871</v>
      </c>
      <c r="B54" s="136" t="s">
        <v>872</v>
      </c>
      <c r="C54" s="93"/>
      <c r="D54" s="98"/>
      <c r="E54" s="125" t="s">
        <v>873</v>
      </c>
    </row>
    <row r="55" spans="1:14">
      <c r="A55" s="143" t="s">
        <v>874</v>
      </c>
      <c r="B55" s="136" t="s">
        <v>875</v>
      </c>
      <c r="C55" s="93"/>
      <c r="D55" s="98"/>
      <c r="E55" s="125" t="s">
        <v>876</v>
      </c>
      <c r="F55" t="s">
        <v>877</v>
      </c>
    </row>
    <row r="56" spans="1:14">
      <c r="A56" s="143" t="s">
        <v>878</v>
      </c>
      <c r="B56" s="136" t="s">
        <v>879</v>
      </c>
      <c r="C56" s="93"/>
      <c r="D56" s="98"/>
      <c r="E56" s="125" t="s">
        <v>845</v>
      </c>
    </row>
    <row r="57" spans="1:14">
      <c r="A57" s="143" t="s">
        <v>880</v>
      </c>
      <c r="B57" s="136" t="s">
        <v>881</v>
      </c>
      <c r="C57" s="93"/>
      <c r="D57" s="98"/>
      <c r="E57" s="125" t="s">
        <v>882</v>
      </c>
    </row>
    <row r="58" spans="1:14" s="19" customFormat="1">
      <c r="A58" s="132" t="s">
        <v>883</v>
      </c>
      <c r="B58" s="137" t="s">
        <v>884</v>
      </c>
      <c r="C58" s="102"/>
      <c r="D58" s="98"/>
      <c r="E58" s="132" t="s">
        <v>885</v>
      </c>
      <c r="G58" s="18"/>
      <c r="H58" s="15"/>
      <c r="I58" s="18"/>
      <c r="J58" s="18"/>
      <c r="K58" s="18"/>
      <c r="L58" s="18"/>
      <c r="M58" s="18"/>
      <c r="N58" s="18"/>
    </row>
    <row r="59" spans="1:14">
      <c r="A59" s="143" t="s">
        <v>886</v>
      </c>
      <c r="B59" s="136" t="s">
        <v>887</v>
      </c>
      <c r="C59" s="93"/>
      <c r="D59" s="98"/>
      <c r="E59" s="125" t="s">
        <v>888</v>
      </c>
    </row>
    <row r="60" spans="1:14">
      <c r="A60" s="143" t="s">
        <v>889</v>
      </c>
      <c r="B60" s="136" t="s">
        <v>890</v>
      </c>
      <c r="C60" s="93"/>
      <c r="D60" s="98"/>
      <c r="E60" s="125" t="s">
        <v>891</v>
      </c>
    </row>
    <row r="61" spans="1:14">
      <c r="A61" s="142" t="s">
        <v>892</v>
      </c>
      <c r="B61" s="135" t="s">
        <v>893</v>
      </c>
      <c r="C61" s="93"/>
      <c r="D61" s="98"/>
      <c r="E61" s="124" t="s">
        <v>894</v>
      </c>
      <c r="F61" t="s">
        <v>895</v>
      </c>
    </row>
    <row r="62" spans="1:14">
      <c r="A62" s="143" t="s">
        <v>896</v>
      </c>
      <c r="B62" s="136" t="s">
        <v>897</v>
      </c>
      <c r="C62" s="93"/>
      <c r="D62" s="98"/>
      <c r="E62" s="125" t="s">
        <v>845</v>
      </c>
    </row>
    <row r="63" spans="1:14">
      <c r="A63" s="143" t="s">
        <v>898</v>
      </c>
      <c r="B63" s="136" t="s">
        <v>899</v>
      </c>
      <c r="C63" s="93"/>
      <c r="D63" s="98"/>
      <c r="E63" s="125" t="s">
        <v>848</v>
      </c>
    </row>
    <row r="64" spans="1:14">
      <c r="A64" s="142" t="s">
        <v>900</v>
      </c>
      <c r="B64" s="135" t="s">
        <v>901</v>
      </c>
      <c r="C64" s="93"/>
      <c r="D64" s="98"/>
      <c r="E64" s="124" t="s">
        <v>902</v>
      </c>
      <c r="F64" t="s">
        <v>903</v>
      </c>
    </row>
    <row r="65" spans="1:6">
      <c r="A65" s="143" t="s">
        <v>904</v>
      </c>
      <c r="B65" s="136" t="s">
        <v>905</v>
      </c>
      <c r="C65" s="93"/>
      <c r="D65" s="98"/>
      <c r="E65" s="125" t="s">
        <v>906</v>
      </c>
    </row>
    <row r="66" spans="1:6">
      <c r="A66" s="143" t="s">
        <v>907</v>
      </c>
      <c r="B66" s="136" t="s">
        <v>908</v>
      </c>
      <c r="C66" s="93"/>
      <c r="D66" s="98"/>
      <c r="E66" s="125" t="s">
        <v>426</v>
      </c>
    </row>
    <row r="67" spans="1:6">
      <c r="A67" s="142" t="s">
        <v>909</v>
      </c>
      <c r="B67" s="135" t="s">
        <v>910</v>
      </c>
      <c r="C67" s="93"/>
      <c r="D67" s="98"/>
      <c r="E67" s="124" t="s">
        <v>911</v>
      </c>
      <c r="F67" s="17" t="s">
        <v>912</v>
      </c>
    </row>
    <row r="68" spans="1:6">
      <c r="A68" s="143" t="s">
        <v>913</v>
      </c>
      <c r="B68" s="136" t="s">
        <v>914</v>
      </c>
      <c r="C68" s="93"/>
      <c r="D68" s="98"/>
      <c r="E68" s="125" t="s">
        <v>915</v>
      </c>
    </row>
    <row r="69" spans="1:6">
      <c r="A69" s="143" t="s">
        <v>916</v>
      </c>
      <c r="B69" s="136" t="s">
        <v>917</v>
      </c>
      <c r="C69" s="93"/>
      <c r="D69" s="98"/>
      <c r="E69" s="125" t="s">
        <v>433</v>
      </c>
    </row>
    <row r="70" spans="1:6">
      <c r="A70" s="143" t="s">
        <v>918</v>
      </c>
      <c r="B70" s="136" t="s">
        <v>919</v>
      </c>
      <c r="C70" s="93"/>
      <c r="D70" s="98"/>
      <c r="E70" s="125" t="s">
        <v>435</v>
      </c>
    </row>
    <row r="71" spans="1:6">
      <c r="A71" s="143" t="s">
        <v>920</v>
      </c>
      <c r="B71" s="136" t="s">
        <v>921</v>
      </c>
      <c r="C71" s="93"/>
      <c r="D71" s="98"/>
      <c r="E71" s="125" t="s">
        <v>922</v>
      </c>
    </row>
    <row r="72" spans="1:6">
      <c r="A72" s="143" t="s">
        <v>923</v>
      </c>
      <c r="B72" s="136" t="s">
        <v>924</v>
      </c>
      <c r="C72" s="93"/>
      <c r="D72" s="98"/>
      <c r="E72" s="125" t="s">
        <v>925</v>
      </c>
    </row>
    <row r="73" spans="1:6">
      <c r="A73" s="143" t="s">
        <v>926</v>
      </c>
      <c r="B73" s="136" t="s">
        <v>927</v>
      </c>
      <c r="C73" s="93"/>
      <c r="D73" s="98"/>
      <c r="E73" s="125" t="s">
        <v>928</v>
      </c>
    </row>
    <row r="74" spans="1:6">
      <c r="A74" s="142" t="s">
        <v>929</v>
      </c>
      <c r="B74" s="135" t="s">
        <v>930</v>
      </c>
      <c r="C74" s="93"/>
      <c r="D74" s="98"/>
      <c r="E74" s="124" t="s">
        <v>931</v>
      </c>
      <c r="F74" s="17" t="s">
        <v>932</v>
      </c>
    </row>
    <row r="75" spans="1:6">
      <c r="A75" s="143" t="s">
        <v>933</v>
      </c>
      <c r="B75" s="136" t="s">
        <v>934</v>
      </c>
      <c r="C75" s="93"/>
      <c r="D75" s="98"/>
      <c r="E75" s="125" t="s">
        <v>935</v>
      </c>
    </row>
    <row r="76" spans="1:6">
      <c r="A76" s="143" t="s">
        <v>936</v>
      </c>
      <c r="B76" s="136" t="s">
        <v>937</v>
      </c>
      <c r="C76" s="93"/>
      <c r="D76" s="98"/>
      <c r="E76" s="125" t="s">
        <v>446</v>
      </c>
    </row>
    <row r="77" spans="1:6">
      <c r="A77" s="143" t="s">
        <v>938</v>
      </c>
      <c r="B77" s="136" t="s">
        <v>939</v>
      </c>
      <c r="C77" s="93"/>
      <c r="D77" s="98"/>
      <c r="E77" s="125" t="s">
        <v>448</v>
      </c>
    </row>
    <row r="78" spans="1:6">
      <c r="A78" s="143" t="s">
        <v>940</v>
      </c>
      <c r="B78" s="136" t="s">
        <v>941</v>
      </c>
      <c r="C78" s="93"/>
      <c r="D78" s="98"/>
      <c r="E78" s="125" t="s">
        <v>450</v>
      </c>
    </row>
    <row r="79" spans="1:6">
      <c r="A79" s="143" t="s">
        <v>942</v>
      </c>
      <c r="B79" s="136" t="s">
        <v>943</v>
      </c>
      <c r="C79" s="93"/>
      <c r="D79" s="98"/>
      <c r="E79" s="125" t="s">
        <v>944</v>
      </c>
    </row>
    <row r="80" spans="1:6">
      <c r="A80" s="142" t="s">
        <v>945</v>
      </c>
      <c r="B80" s="135" t="s">
        <v>946</v>
      </c>
      <c r="C80" s="93"/>
      <c r="D80" s="98"/>
      <c r="E80" s="124" t="s">
        <v>947</v>
      </c>
      <c r="F80" t="s">
        <v>948</v>
      </c>
    </row>
    <row r="81" spans="1:6">
      <c r="A81" s="142" t="s">
        <v>949</v>
      </c>
      <c r="B81" s="135" t="s">
        <v>950</v>
      </c>
      <c r="C81" s="93"/>
      <c r="D81" s="98"/>
      <c r="E81" s="124" t="s">
        <v>455</v>
      </c>
      <c r="F81" t="s">
        <v>951</v>
      </c>
    </row>
    <row r="82" spans="1:6">
      <c r="A82" s="142" t="s">
        <v>952</v>
      </c>
      <c r="B82" s="135" t="s">
        <v>953</v>
      </c>
      <c r="C82" s="93"/>
      <c r="D82" s="98"/>
      <c r="E82" s="124" t="s">
        <v>458</v>
      </c>
      <c r="F82" t="s">
        <v>954</v>
      </c>
    </row>
    <row r="83" spans="1:6">
      <c r="A83" s="143" t="s">
        <v>955</v>
      </c>
      <c r="B83" s="136" t="s">
        <v>956</v>
      </c>
      <c r="C83" s="93"/>
      <c r="D83" s="98"/>
      <c r="E83" s="125" t="s">
        <v>461</v>
      </c>
    </row>
    <row r="84" spans="1:6">
      <c r="A84" s="143" t="s">
        <v>957</v>
      </c>
      <c r="B84" s="136" t="s">
        <v>958</v>
      </c>
      <c r="C84" s="93"/>
      <c r="D84" s="98"/>
      <c r="E84" s="125" t="s">
        <v>463</v>
      </c>
    </row>
    <row r="85" spans="1:6">
      <c r="A85" s="143" t="s">
        <v>959</v>
      </c>
      <c r="B85" s="136" t="s">
        <v>960</v>
      </c>
      <c r="C85" s="93"/>
      <c r="D85" s="98"/>
      <c r="E85" s="125" t="s">
        <v>961</v>
      </c>
    </row>
    <row r="86" spans="1:6">
      <c r="A86" s="143" t="s">
        <v>962</v>
      </c>
      <c r="B86" s="136" t="s">
        <v>963</v>
      </c>
      <c r="C86" s="93"/>
      <c r="D86" s="98"/>
      <c r="E86" s="125" t="s">
        <v>964</v>
      </c>
    </row>
    <row r="87" spans="1:6">
      <c r="A87" s="143" t="s">
        <v>965</v>
      </c>
      <c r="B87" s="136" t="s">
        <v>966</v>
      </c>
      <c r="C87" s="93"/>
      <c r="D87" s="98"/>
      <c r="E87" s="125" t="s">
        <v>967</v>
      </c>
    </row>
    <row r="88" spans="1:6">
      <c r="A88" s="143" t="s">
        <v>968</v>
      </c>
      <c r="B88" s="136" t="s">
        <v>969</v>
      </c>
      <c r="C88" s="93"/>
      <c r="D88" s="98"/>
      <c r="E88" s="125" t="s">
        <v>970</v>
      </c>
    </row>
    <row r="89" spans="1:6">
      <c r="A89" s="143" t="s">
        <v>971</v>
      </c>
      <c r="B89" s="136" t="s">
        <v>972</v>
      </c>
      <c r="C89" s="93"/>
      <c r="D89" s="98"/>
      <c r="E89" s="125" t="s">
        <v>973</v>
      </c>
    </row>
    <row r="90" spans="1:6">
      <c r="A90" s="143" t="s">
        <v>974</v>
      </c>
      <c r="B90" s="136" t="s">
        <v>975</v>
      </c>
      <c r="C90" s="93"/>
      <c r="D90" s="98"/>
      <c r="E90" s="125" t="s">
        <v>976</v>
      </c>
    </row>
    <row r="91" spans="1:6">
      <c r="A91" s="143" t="s">
        <v>977</v>
      </c>
      <c r="B91" s="136" t="s">
        <v>978</v>
      </c>
      <c r="C91" s="93"/>
      <c r="D91" s="98"/>
      <c r="E91" s="125" t="s">
        <v>979</v>
      </c>
    </row>
    <row r="92" spans="1:6">
      <c r="A92" s="143" t="s">
        <v>980</v>
      </c>
      <c r="B92" s="136" t="s">
        <v>981</v>
      </c>
      <c r="C92" s="93"/>
      <c r="D92" s="98"/>
      <c r="E92" s="125" t="s">
        <v>982</v>
      </c>
    </row>
    <row r="93" spans="1:6">
      <c r="A93" s="143" t="s">
        <v>983</v>
      </c>
      <c r="B93" s="136" t="s">
        <v>984</v>
      </c>
      <c r="C93" s="93"/>
      <c r="D93" s="98"/>
      <c r="E93" s="125" t="s">
        <v>985</v>
      </c>
    </row>
    <row r="94" spans="1:6">
      <c r="A94" s="143" t="s">
        <v>986</v>
      </c>
      <c r="B94" s="136" t="s">
        <v>987</v>
      </c>
      <c r="C94" s="93"/>
      <c r="D94" s="98"/>
      <c r="E94" s="125" t="s">
        <v>988</v>
      </c>
    </row>
    <row r="95" spans="1:6">
      <c r="A95" s="143" t="s">
        <v>989</v>
      </c>
      <c r="B95" s="136" t="s">
        <v>990</v>
      </c>
      <c r="C95" s="93"/>
      <c r="D95" s="98"/>
      <c r="E95" s="125" t="s">
        <v>991</v>
      </c>
    </row>
    <row r="96" spans="1:6">
      <c r="A96" s="143" t="s">
        <v>992</v>
      </c>
      <c r="B96" s="136" t="s">
        <v>993</v>
      </c>
      <c r="C96" s="93"/>
      <c r="D96" s="98"/>
      <c r="E96" s="125" t="s">
        <v>994</v>
      </c>
    </row>
    <row r="97" spans="1:6">
      <c r="A97" s="143" t="s">
        <v>995</v>
      </c>
      <c r="B97" s="136" t="s">
        <v>996</v>
      </c>
      <c r="C97" s="93"/>
      <c r="D97" s="98"/>
      <c r="E97" s="125" t="s">
        <v>997</v>
      </c>
    </row>
    <row r="98" spans="1:6">
      <c r="A98" s="142" t="s">
        <v>998</v>
      </c>
      <c r="B98" s="135" t="s">
        <v>999</v>
      </c>
      <c r="C98" s="93"/>
      <c r="D98" s="98"/>
      <c r="E98" s="124" t="s">
        <v>489</v>
      </c>
      <c r="F98" t="s">
        <v>1000</v>
      </c>
    </row>
    <row r="99" spans="1:6">
      <c r="A99" s="143" t="s">
        <v>1001</v>
      </c>
      <c r="B99" s="136" t="s">
        <v>1002</v>
      </c>
      <c r="C99" s="93"/>
      <c r="D99" s="98"/>
      <c r="E99" s="125" t="s">
        <v>492</v>
      </c>
    </row>
    <row r="100" spans="1:6">
      <c r="A100" s="143" t="s">
        <v>1003</v>
      </c>
      <c r="B100" s="136" t="s">
        <v>1004</v>
      </c>
      <c r="C100" s="93"/>
      <c r="D100" s="98"/>
      <c r="E100" s="125" t="s">
        <v>494</v>
      </c>
    </row>
    <row r="101" spans="1:6">
      <c r="A101" s="143" t="s">
        <v>1005</v>
      </c>
      <c r="B101" s="136" t="s">
        <v>1006</v>
      </c>
      <c r="C101" s="93"/>
      <c r="D101" s="98"/>
      <c r="E101" s="125" t="s">
        <v>1007</v>
      </c>
    </row>
    <row r="102" spans="1:6">
      <c r="A102" s="143" t="s">
        <v>1008</v>
      </c>
      <c r="B102" s="136" t="s">
        <v>1009</v>
      </c>
      <c r="C102" s="93"/>
      <c r="D102" s="98"/>
      <c r="E102" s="125" t="s">
        <v>1010</v>
      </c>
    </row>
    <row r="103" spans="1:6">
      <c r="A103" s="143" t="s">
        <v>1011</v>
      </c>
      <c r="B103" s="136" t="s">
        <v>1012</v>
      </c>
      <c r="C103" s="93"/>
      <c r="D103" s="98"/>
      <c r="E103" s="125" t="s">
        <v>1013</v>
      </c>
    </row>
    <row r="104" spans="1:6">
      <c r="A104" s="143" t="s">
        <v>1014</v>
      </c>
      <c r="B104" s="136" t="s">
        <v>1015</v>
      </c>
      <c r="C104" s="93"/>
      <c r="D104" s="98"/>
      <c r="E104" s="125" t="s">
        <v>1016</v>
      </c>
    </row>
    <row r="105" spans="1:6">
      <c r="A105" s="143" t="s">
        <v>1017</v>
      </c>
      <c r="B105" s="136" t="s">
        <v>1018</v>
      </c>
      <c r="C105" s="93"/>
      <c r="D105" s="98"/>
      <c r="E105" s="125" t="s">
        <v>1019</v>
      </c>
    </row>
    <row r="106" spans="1:6">
      <c r="A106" s="143" t="s">
        <v>1020</v>
      </c>
      <c r="B106" s="136" t="s">
        <v>1021</v>
      </c>
      <c r="C106" s="93"/>
      <c r="D106" s="98"/>
      <c r="E106" s="125" t="s">
        <v>1022</v>
      </c>
    </row>
    <row r="107" spans="1:6">
      <c r="A107" s="143" t="s">
        <v>1023</v>
      </c>
      <c r="B107" s="136" t="s">
        <v>1024</v>
      </c>
      <c r="C107" s="93"/>
      <c r="D107" s="98"/>
      <c r="E107" s="125" t="s">
        <v>1025</v>
      </c>
    </row>
    <row r="108" spans="1:6">
      <c r="A108" s="143" t="s">
        <v>1026</v>
      </c>
      <c r="B108" s="136" t="s">
        <v>1027</v>
      </c>
      <c r="C108" s="93"/>
      <c r="D108" s="98"/>
      <c r="E108" s="125" t="s">
        <v>1028</v>
      </c>
    </row>
    <row r="109" spans="1:6">
      <c r="A109" s="143" t="s">
        <v>1029</v>
      </c>
      <c r="B109" s="136" t="s">
        <v>1030</v>
      </c>
      <c r="C109" s="93"/>
      <c r="D109" s="98"/>
      <c r="E109" s="125" t="s">
        <v>1031</v>
      </c>
    </row>
    <row r="110" spans="1:6">
      <c r="A110" s="143" t="s">
        <v>1032</v>
      </c>
      <c r="B110" s="136" t="s">
        <v>1033</v>
      </c>
      <c r="C110" s="93"/>
      <c r="D110" s="98"/>
      <c r="E110" s="125" t="s">
        <v>1034</v>
      </c>
    </row>
    <row r="111" spans="1:6">
      <c r="A111" s="143" t="s">
        <v>1035</v>
      </c>
      <c r="B111" s="136" t="s">
        <v>1036</v>
      </c>
      <c r="C111" s="93"/>
      <c r="D111" s="98"/>
      <c r="E111" s="125" t="s">
        <v>1037</v>
      </c>
    </row>
    <row r="112" spans="1:6">
      <c r="A112" s="143" t="s">
        <v>1038</v>
      </c>
      <c r="B112" s="136" t="s">
        <v>1039</v>
      </c>
      <c r="C112" s="93"/>
      <c r="D112" s="98"/>
      <c r="E112" s="125" t="s">
        <v>1040</v>
      </c>
    </row>
    <row r="113" spans="1:6">
      <c r="A113" s="142" t="s">
        <v>1041</v>
      </c>
      <c r="B113" s="135" t="s">
        <v>1042</v>
      </c>
      <c r="C113" s="93"/>
      <c r="D113" s="98"/>
      <c r="E113" s="124" t="s">
        <v>518</v>
      </c>
      <c r="F113" t="s">
        <v>1043</v>
      </c>
    </row>
    <row r="114" spans="1:6">
      <c r="A114" s="143" t="s">
        <v>1044</v>
      </c>
      <c r="B114" s="136" t="s">
        <v>1045</v>
      </c>
      <c r="C114" s="93"/>
      <c r="D114" s="98"/>
      <c r="E114" s="125" t="s">
        <v>524</v>
      </c>
      <c r="F114" t="s">
        <v>1046</v>
      </c>
    </row>
    <row r="115" spans="1:6">
      <c r="A115" s="143" t="s">
        <v>734</v>
      </c>
      <c r="B115" s="136" t="s">
        <v>735</v>
      </c>
      <c r="C115" s="93"/>
      <c r="D115" s="98"/>
      <c r="E115" s="125" t="s">
        <v>1047</v>
      </c>
    </row>
    <row r="116" spans="1:6">
      <c r="A116" s="143" t="s">
        <v>737</v>
      </c>
      <c r="B116" s="136" t="s">
        <v>738</v>
      </c>
      <c r="C116" s="93"/>
      <c r="D116" s="98"/>
      <c r="E116" s="125" t="s">
        <v>1048</v>
      </c>
    </row>
    <row r="117" spans="1:6">
      <c r="A117" s="143" t="s">
        <v>1049</v>
      </c>
      <c r="B117" s="136" t="s">
        <v>1050</v>
      </c>
      <c r="C117" s="93"/>
      <c r="D117" s="98"/>
      <c r="E117" s="125" t="s">
        <v>1051</v>
      </c>
    </row>
    <row r="118" spans="1:6">
      <c r="A118" s="143" t="s">
        <v>1052</v>
      </c>
      <c r="B118" s="136" t="s">
        <v>1053</v>
      </c>
      <c r="C118" s="93"/>
      <c r="D118" s="98"/>
      <c r="E118" s="125" t="s">
        <v>535</v>
      </c>
    </row>
    <row r="119" spans="1:6">
      <c r="A119" s="143" t="s">
        <v>1054</v>
      </c>
      <c r="B119" s="136" t="s">
        <v>1055</v>
      </c>
      <c r="C119" s="93"/>
      <c r="D119" s="98"/>
      <c r="E119" s="125" t="s">
        <v>1056</v>
      </c>
    </row>
    <row r="120" spans="1:6">
      <c r="A120" s="143" t="s">
        <v>1057</v>
      </c>
      <c r="B120" s="136" t="s">
        <v>1058</v>
      </c>
      <c r="C120" s="93"/>
      <c r="D120" s="98"/>
      <c r="E120" s="125" t="s">
        <v>1059</v>
      </c>
    </row>
    <row r="121" spans="1:6">
      <c r="A121" s="143" t="s">
        <v>1060</v>
      </c>
      <c r="B121" s="136" t="s">
        <v>1061</v>
      </c>
      <c r="C121" s="93"/>
      <c r="D121" s="98"/>
      <c r="E121" s="125" t="s">
        <v>541</v>
      </c>
    </row>
    <row r="122" spans="1:6">
      <c r="A122" s="143" t="s">
        <v>1062</v>
      </c>
      <c r="B122" s="136" t="s">
        <v>1063</v>
      </c>
      <c r="C122" s="93"/>
      <c r="D122" s="98"/>
      <c r="E122" s="125" t="s">
        <v>543</v>
      </c>
    </row>
    <row r="123" spans="1:6">
      <c r="A123" s="143" t="s">
        <v>1064</v>
      </c>
      <c r="B123" s="136" t="s">
        <v>1065</v>
      </c>
      <c r="C123" s="93"/>
      <c r="D123" s="98"/>
      <c r="E123" s="125" t="s">
        <v>545</v>
      </c>
    </row>
    <row r="124" spans="1:6">
      <c r="A124" s="143" t="s">
        <v>1066</v>
      </c>
      <c r="B124" s="136" t="s">
        <v>1067</v>
      </c>
      <c r="C124" s="93"/>
      <c r="D124" s="98"/>
      <c r="E124" s="125" t="s">
        <v>1068</v>
      </c>
    </row>
    <row r="125" spans="1:6">
      <c r="A125" s="143" t="s">
        <v>1069</v>
      </c>
      <c r="B125" s="136" t="s">
        <v>1070</v>
      </c>
      <c r="C125" s="93"/>
      <c r="D125" s="98"/>
      <c r="E125" s="125" t="s">
        <v>1071</v>
      </c>
      <c r="F125" t="s">
        <v>1072</v>
      </c>
    </row>
    <row r="126" spans="1:6">
      <c r="A126" s="143" t="s">
        <v>1073</v>
      </c>
      <c r="B126" s="136">
        <v>4201</v>
      </c>
      <c r="C126" s="93"/>
      <c r="D126" s="98"/>
      <c r="E126" s="125" t="s">
        <v>1074</v>
      </c>
    </row>
    <row r="127" spans="1:6">
      <c r="A127" s="143" t="s">
        <v>1075</v>
      </c>
      <c r="B127" s="136">
        <v>4202</v>
      </c>
      <c r="C127" s="93"/>
      <c r="D127" s="98"/>
      <c r="E127" s="125" t="s">
        <v>1076</v>
      </c>
    </row>
    <row r="128" spans="1:6">
      <c r="A128" s="143" t="s">
        <v>1077</v>
      </c>
      <c r="B128" s="136" t="s">
        <v>1078</v>
      </c>
      <c r="C128" s="93"/>
      <c r="D128" s="98"/>
      <c r="E128" s="125" t="s">
        <v>1079</v>
      </c>
    </row>
    <row r="129" spans="1:6">
      <c r="A129" s="144" t="s">
        <v>1080</v>
      </c>
      <c r="B129" s="140" t="s">
        <v>1081</v>
      </c>
      <c r="C129" s="106"/>
      <c r="D129" s="128"/>
      <c r="E129" s="133" t="s">
        <v>569</v>
      </c>
      <c r="F129" t="s">
        <v>1082</v>
      </c>
    </row>
  </sheetData>
  <conditionalFormatting sqref="C2:E2 D3:D129">
    <cfRule type="expression" dxfId="87" priority="28">
      <formula>OR(#REF!&lt;&gt;0,#REF!&lt;&gt;0)</formula>
    </cfRule>
  </conditionalFormatting>
  <conditionalFormatting sqref="C4 E4">
    <cfRule type="expression" dxfId="86" priority="29">
      <formula>OR(#REF!&lt;&gt;0,#REF!&lt;&gt;0)</formula>
    </cfRule>
  </conditionalFormatting>
  <conditionalFormatting sqref="C6 E6">
    <cfRule type="expression" dxfId="85" priority="30">
      <formula>OR(#REF!&lt;&gt;0,#REF!&lt;&gt;0)</formula>
    </cfRule>
  </conditionalFormatting>
  <conditionalFormatting sqref="C8 E8">
    <cfRule type="expression" dxfId="84" priority="31">
      <formula>OR(#REF!&lt;&gt;0,#REF!&lt;&gt;0)</formula>
    </cfRule>
  </conditionalFormatting>
  <conditionalFormatting sqref="C13 E13">
    <cfRule type="expression" dxfId="83" priority="32">
      <formula>OR(#REF!&lt;&gt;0,#REF!&lt;&gt;0)</formula>
    </cfRule>
  </conditionalFormatting>
  <conditionalFormatting sqref="C14 E14">
    <cfRule type="expression" dxfId="82" priority="33">
      <formula>OR(#REF!&lt;&gt;0,#REF!&lt;&gt;0)</formula>
    </cfRule>
  </conditionalFormatting>
  <conditionalFormatting sqref="C16 E16">
    <cfRule type="expression" dxfId="81" priority="34">
      <formula>OR(#REF!&lt;&gt;0,#REF!&lt;&gt;0)</formula>
    </cfRule>
  </conditionalFormatting>
  <conditionalFormatting sqref="C17 E17">
    <cfRule type="expression" dxfId="80" priority="35">
      <formula>OR(#REF!&lt;&gt;0,#REF!&lt;&gt;0)</formula>
    </cfRule>
  </conditionalFormatting>
  <conditionalFormatting sqref="C20 E20">
    <cfRule type="expression" dxfId="79" priority="36">
      <formula>OR(#REF!&lt;&gt;0,#REF!&lt;&gt;0)</formula>
    </cfRule>
  </conditionalFormatting>
  <conditionalFormatting sqref="C21 E21">
    <cfRule type="expression" dxfId="78" priority="37">
      <formula>OR(#REF!&lt;&gt;0,#REF!&lt;&gt;0)</formula>
    </cfRule>
  </conditionalFormatting>
  <conditionalFormatting sqref="C26 E26">
    <cfRule type="expression" dxfId="77" priority="38">
      <formula>OR(#REF!&lt;&gt;0,#REF!&lt;&gt;0)</formula>
    </cfRule>
  </conditionalFormatting>
  <conditionalFormatting sqref="C27 E27">
    <cfRule type="expression" dxfId="76" priority="39">
      <formula>OR(#REF!&lt;&gt;0,#REF!&lt;&gt;0)</formula>
    </cfRule>
  </conditionalFormatting>
  <conditionalFormatting sqref="C29 E29">
    <cfRule type="expression" dxfId="75" priority="40">
      <formula>OR(#REF!&lt;&gt;0,#REF!&lt;&gt;0)</formula>
    </cfRule>
  </conditionalFormatting>
  <conditionalFormatting sqref="C30 E30">
    <cfRule type="expression" dxfId="74" priority="41">
      <formula>OR(#REF!&lt;&gt;0,#REF!&lt;&gt;0)</formula>
    </cfRule>
  </conditionalFormatting>
  <conditionalFormatting sqref="C32 E32">
    <cfRule type="expression" dxfId="73" priority="42">
      <formula>OR(#REF!&lt;&gt;0,#REF!&lt;&gt;0)</formula>
    </cfRule>
  </conditionalFormatting>
  <conditionalFormatting sqref="C34 E34">
    <cfRule type="expression" dxfId="72" priority="43">
      <formula>OR(#REF!&lt;&gt;0,#REF!&lt;&gt;0)</formula>
    </cfRule>
  </conditionalFormatting>
  <conditionalFormatting sqref="C36 E36">
    <cfRule type="expression" dxfId="71" priority="44">
      <formula>OR(#REF!&lt;&gt;0,#REF!&lt;&gt;0)</formula>
    </cfRule>
  </conditionalFormatting>
  <conditionalFormatting sqref="C39 E39">
    <cfRule type="expression" dxfId="70" priority="45">
      <formula>OR(#REF!&lt;&gt;0,#REF!&lt;&gt;0)</formula>
    </cfRule>
  </conditionalFormatting>
  <conditionalFormatting sqref="C40 E40">
    <cfRule type="expression" dxfId="69" priority="46">
      <formula>OR(#REF!&lt;&gt;0,#REF!&lt;&gt;0)</formula>
    </cfRule>
  </conditionalFormatting>
  <conditionalFormatting sqref="C41 E41">
    <cfRule type="expression" dxfId="68" priority="47">
      <formula>OR(#REF!&lt;&gt;0,#REF!&lt;&gt;0)</formula>
    </cfRule>
  </conditionalFormatting>
  <conditionalFormatting sqref="C50 E50">
    <cfRule type="expression" dxfId="67" priority="48">
      <formula>OR(#REF!&lt;&gt;0,#REF!&lt;&gt;0)</formula>
    </cfRule>
  </conditionalFormatting>
  <conditionalFormatting sqref="C58 E58">
    <cfRule type="expression" dxfId="66" priority="49">
      <formula>OR(#REF!&lt;&gt;0,#REF!&lt;&gt;0)</formula>
    </cfRule>
  </conditionalFormatting>
  <conditionalFormatting sqref="C62 E62">
    <cfRule type="expression" dxfId="65" priority="50">
      <formula>OR(#REF!&lt;&gt;0,#REF!&lt;&gt;0)</formula>
    </cfRule>
  </conditionalFormatting>
  <conditionalFormatting sqref="C66 E66">
    <cfRule type="expression" dxfId="64" priority="51">
      <formula>OR(#REF!&lt;&gt;0,#REF!&lt;&gt;0)</formula>
    </cfRule>
  </conditionalFormatting>
  <conditionalFormatting sqref="C28 E28">
    <cfRule type="expression" dxfId="63" priority="52">
      <formula>OR(#REF!&lt;&gt;0,#REF!&lt;&gt;0)</formula>
    </cfRule>
  </conditionalFormatting>
  <conditionalFormatting sqref="C31 E31">
    <cfRule type="expression" dxfId="62" priority="53">
      <formula>OR(#REF!&lt;&gt;0,#REF!&lt;&gt;0)</formula>
    </cfRule>
  </conditionalFormatting>
  <conditionalFormatting sqref="C66 C39 E39 E66">
    <cfRule type="expression" dxfId="61" priority="54">
      <formula>OR(#REF!&lt;&gt;0,#REF!&lt;&gt;0)</formula>
    </cfRule>
  </conditionalFormatting>
  <conditionalFormatting sqref="A2:B2">
    <cfRule type="expression" dxfId="60" priority="1">
      <formula>OR(#REF!&lt;&gt;0,#REF!&lt;&gt;0)</formula>
    </cfRule>
  </conditionalFormatting>
  <conditionalFormatting sqref="A4:B4">
    <cfRule type="expression" dxfId="59" priority="2">
      <formula>OR(#REF!&lt;&gt;0,#REF!&lt;&gt;0)</formula>
    </cfRule>
  </conditionalFormatting>
  <conditionalFormatting sqref="A6:B6">
    <cfRule type="expression" dxfId="58" priority="3">
      <formula>OR(#REF!&lt;&gt;0,#REF!&lt;&gt;0)</formula>
    </cfRule>
  </conditionalFormatting>
  <conditionalFormatting sqref="A8:B8">
    <cfRule type="expression" dxfId="57" priority="4">
      <formula>OR(#REF!&lt;&gt;0,#REF!&lt;&gt;0)</formula>
    </cfRule>
  </conditionalFormatting>
  <conditionalFormatting sqref="A13:B13">
    <cfRule type="expression" dxfId="56" priority="5">
      <formula>OR(#REF!&lt;&gt;0,#REF!&lt;&gt;0)</formula>
    </cfRule>
  </conditionalFormatting>
  <conditionalFormatting sqref="A14:B14">
    <cfRule type="expression" dxfId="55" priority="6">
      <formula>OR(#REF!&lt;&gt;0,#REF!&lt;&gt;0)</formula>
    </cfRule>
  </conditionalFormatting>
  <conditionalFormatting sqref="A16:B16">
    <cfRule type="expression" dxfId="54" priority="7">
      <formula>OR(#REF!&lt;&gt;0,#REF!&lt;&gt;0)</formula>
    </cfRule>
  </conditionalFormatting>
  <conditionalFormatting sqref="A17:B17">
    <cfRule type="expression" dxfId="53" priority="8">
      <formula>OR(#REF!&lt;&gt;0,#REF!&lt;&gt;0)</formula>
    </cfRule>
  </conditionalFormatting>
  <conditionalFormatting sqref="A20:B20">
    <cfRule type="expression" dxfId="52" priority="9">
      <formula>OR(#REF!&lt;&gt;0,#REF!&lt;&gt;0)</formula>
    </cfRule>
  </conditionalFormatting>
  <conditionalFormatting sqref="A21:B21">
    <cfRule type="expression" dxfId="51" priority="10">
      <formula>OR(#REF!&lt;&gt;0,#REF!&lt;&gt;0)</formula>
    </cfRule>
  </conditionalFormatting>
  <conditionalFormatting sqref="A26:B26">
    <cfRule type="expression" dxfId="50" priority="11">
      <formula>OR(#REF!&lt;&gt;0,#REF!&lt;&gt;0)</formula>
    </cfRule>
  </conditionalFormatting>
  <conditionalFormatting sqref="A27:B27">
    <cfRule type="expression" dxfId="49" priority="12">
      <formula>OR(#REF!&lt;&gt;0,#REF!&lt;&gt;0)</formula>
    </cfRule>
  </conditionalFormatting>
  <conditionalFormatting sqref="A29:B29">
    <cfRule type="expression" dxfId="48" priority="13">
      <formula>OR(#REF!&lt;&gt;0,#REF!&lt;&gt;0)</formula>
    </cfRule>
  </conditionalFormatting>
  <conditionalFormatting sqref="A30:B30">
    <cfRule type="expression" dxfId="47" priority="14">
      <formula>OR(#REF!&lt;&gt;0,#REF!&lt;&gt;0)</formula>
    </cfRule>
  </conditionalFormatting>
  <conditionalFormatting sqref="A32:B32">
    <cfRule type="expression" dxfId="46" priority="15">
      <formula>OR(#REF!&lt;&gt;0,#REF!&lt;&gt;0)</formula>
    </cfRule>
  </conditionalFormatting>
  <conditionalFormatting sqref="A34:B34">
    <cfRule type="expression" dxfId="45" priority="16">
      <formula>OR(#REF!&lt;&gt;0,#REF!&lt;&gt;0)</formula>
    </cfRule>
  </conditionalFormatting>
  <conditionalFormatting sqref="A36:B36">
    <cfRule type="expression" dxfId="44" priority="17">
      <formula>OR(#REF!&lt;&gt;0,#REF!&lt;&gt;0)</formula>
    </cfRule>
  </conditionalFormatting>
  <conditionalFormatting sqref="A39:B39">
    <cfRule type="expression" dxfId="43" priority="18">
      <formula>OR(#REF!&lt;&gt;0,#REF!&lt;&gt;0)</formula>
    </cfRule>
  </conditionalFormatting>
  <conditionalFormatting sqref="A40:B40">
    <cfRule type="expression" dxfId="42" priority="19">
      <formula>OR(#REF!&lt;&gt;0,#REF!&lt;&gt;0)</formula>
    </cfRule>
  </conditionalFormatting>
  <conditionalFormatting sqref="A41:B41">
    <cfRule type="expression" dxfId="41" priority="20">
      <formula>OR(#REF!&lt;&gt;0,#REF!&lt;&gt;0)</formula>
    </cfRule>
  </conditionalFormatting>
  <conditionalFormatting sqref="A50:B50">
    <cfRule type="expression" dxfId="40" priority="21">
      <formula>OR(#REF!&lt;&gt;0,#REF!&lt;&gt;0)</formula>
    </cfRule>
  </conditionalFormatting>
  <conditionalFormatting sqref="A58:B58">
    <cfRule type="expression" dxfId="39" priority="22">
      <formula>OR(#REF!&lt;&gt;0,#REF!&lt;&gt;0)</formula>
    </cfRule>
  </conditionalFormatting>
  <conditionalFormatting sqref="A62:B62">
    <cfRule type="expression" dxfId="38" priority="23">
      <formula>OR(#REF!&lt;&gt;0,#REF!&lt;&gt;0)</formula>
    </cfRule>
  </conditionalFormatting>
  <conditionalFormatting sqref="A66:B66">
    <cfRule type="expression" dxfId="37" priority="24">
      <formula>OR(#REF!&lt;&gt;0,#REF!&lt;&gt;0)</formula>
    </cfRule>
  </conditionalFormatting>
  <conditionalFormatting sqref="A28:B28">
    <cfRule type="expression" dxfId="36" priority="25">
      <formula>OR(#REF!&lt;&gt;0,#REF!&lt;&gt;0)</formula>
    </cfRule>
  </conditionalFormatting>
  <conditionalFormatting sqref="A31:B31">
    <cfRule type="expression" dxfId="35" priority="26">
      <formula>OR(#REF!&lt;&gt;0,#REF!&lt;&gt;0)</formula>
    </cfRule>
  </conditionalFormatting>
  <conditionalFormatting sqref="A39:B39 A66:B66">
    <cfRule type="expression" dxfId="34" priority="27">
      <formula>OR(#REF!&lt;&gt;0,#REF!&lt;&gt;0)</formula>
    </cfRule>
  </conditionalFormatting>
  <dataValidations count="1">
    <dataValidation type="decimal" operator="notEqual" allowBlank="1" showInputMessage="1" showErrorMessage="1" sqref="C2:C66 D2:D129" xr:uid="{00000000-0002-0000-0800-000000000000}">
      <formula1>-9.99999999999999E+36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5"/>
  <sheetViews>
    <sheetView zoomScale="90" zoomScaleNormal="90" workbookViewId="0">
      <selection activeCell="E8" sqref="E8"/>
    </sheetView>
  </sheetViews>
  <sheetFormatPr defaultColWidth="9.140625" defaultRowHeight="15"/>
  <cols>
    <col min="1" max="1" width="12.28515625" style="12" bestFit="1" customWidth="1"/>
    <col min="2" max="2" width="4.140625" style="31" bestFit="1" customWidth="1"/>
    <col min="3" max="3" width="13.5703125" style="12" bestFit="1" customWidth="1"/>
    <col min="4" max="4" width="16.5703125" style="12" bestFit="1" customWidth="1"/>
    <col min="5" max="5" width="79" style="12" bestFit="1" customWidth="1"/>
    <col min="6" max="6" width="102" style="15" bestFit="1" customWidth="1"/>
    <col min="7" max="7" width="45" style="15" bestFit="1" customWidth="1"/>
    <col min="8" max="8" width="36" style="15" bestFit="1" customWidth="1"/>
    <col min="9" max="11" width="9.140625" style="15"/>
    <col min="12" max="12" width="45" style="15" bestFit="1" customWidth="1"/>
    <col min="13" max="15" width="9.140625" style="15"/>
    <col min="16" max="17" width="9.140625" style="12"/>
    <col min="18" max="18" width="14.85546875" style="12" bestFit="1" customWidth="1"/>
    <col min="19" max="16384" width="9.140625" style="12"/>
  </cols>
  <sheetData>
    <row r="1" spans="1:17" ht="28.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G1" s="15" t="s">
        <v>147</v>
      </c>
      <c r="L1" s="15" t="s">
        <v>4</v>
      </c>
      <c r="P1" s="22"/>
      <c r="Q1" s="22"/>
    </row>
    <row r="2" spans="1:17">
      <c r="A2" s="13" t="s">
        <v>1083</v>
      </c>
      <c r="B2" s="28" t="s">
        <v>149</v>
      </c>
      <c r="C2" s="13"/>
      <c r="D2" s="13"/>
      <c r="E2" s="13" t="s">
        <v>150</v>
      </c>
      <c r="L2" s="15" t="s">
        <v>151</v>
      </c>
      <c r="P2" s="22"/>
      <c r="Q2" s="22"/>
    </row>
    <row r="3" spans="1:17">
      <c r="A3" s="13" t="s">
        <v>1084</v>
      </c>
      <c r="B3" s="28" t="s">
        <v>153</v>
      </c>
      <c r="C3" s="13"/>
      <c r="D3" s="13"/>
      <c r="E3" s="13" t="s">
        <v>154</v>
      </c>
      <c r="L3" s="15" t="s">
        <v>155</v>
      </c>
      <c r="P3" s="22"/>
      <c r="Q3" s="22"/>
    </row>
    <row r="4" spans="1:17">
      <c r="A4" s="23" t="s">
        <v>1085</v>
      </c>
      <c r="B4" s="29" t="s">
        <v>574</v>
      </c>
      <c r="C4" s="13"/>
      <c r="D4" s="13"/>
      <c r="E4" s="23" t="s">
        <v>575</v>
      </c>
      <c r="F4" s="15" t="str">
        <f>"Chỉ tiêu "&amp;$G4&amp;" Năm trước "&amp;$G$1</f>
        <v>Chỉ tiêu Doanh thu thuần về bán hàng và cung cấp dịch vụ Năm trước chưa cân đối. Xem số chênh lệch bên dưới.</v>
      </c>
      <c r="G4" s="15" t="s">
        <v>158</v>
      </c>
      <c r="L4" s="15" t="s">
        <v>158</v>
      </c>
      <c r="P4" s="22"/>
      <c r="Q4" s="22"/>
    </row>
    <row r="5" spans="1:17">
      <c r="A5" s="13" t="s">
        <v>1086</v>
      </c>
      <c r="B5" s="28" t="s">
        <v>577</v>
      </c>
      <c r="C5" s="13"/>
      <c r="D5" s="13"/>
      <c r="E5" s="13" t="s">
        <v>160</v>
      </c>
      <c r="L5" s="15" t="s">
        <v>161</v>
      </c>
      <c r="P5" s="22"/>
      <c r="Q5" s="22"/>
    </row>
    <row r="6" spans="1:17">
      <c r="A6" s="23" t="s">
        <v>1087</v>
      </c>
      <c r="B6" s="29" t="s">
        <v>579</v>
      </c>
      <c r="C6" s="13"/>
      <c r="D6" s="13"/>
      <c r="E6" s="23" t="s">
        <v>580</v>
      </c>
      <c r="F6" s="15" t="str">
        <f>"Chỉ tiêu "&amp;$G6&amp;" Năm trước "&amp;$G$1</f>
        <v>Chỉ tiêu Lợi nhuận gộp về bán hàng và cung cấp dịch vụ Năm trước chưa cân đối. Xem số chênh lệch bên dưới.</v>
      </c>
      <c r="G6" s="15" t="s">
        <v>164</v>
      </c>
      <c r="L6" s="15" t="s">
        <v>164</v>
      </c>
      <c r="P6" s="22"/>
      <c r="Q6" s="22"/>
    </row>
    <row r="7" spans="1:17">
      <c r="A7" s="13" t="s">
        <v>1088</v>
      </c>
      <c r="B7" s="28" t="s">
        <v>582</v>
      </c>
      <c r="C7" s="13"/>
      <c r="D7" s="13"/>
      <c r="E7" s="13" t="s">
        <v>1089</v>
      </c>
      <c r="L7" s="15" t="s">
        <v>167</v>
      </c>
      <c r="P7" s="22"/>
      <c r="Q7" s="22"/>
    </row>
    <row r="8" spans="1:17">
      <c r="A8" s="13" t="s">
        <v>1090</v>
      </c>
      <c r="B8" s="28" t="s">
        <v>584</v>
      </c>
      <c r="C8" s="13"/>
      <c r="D8" s="13"/>
      <c r="E8" s="13" t="s">
        <v>1091</v>
      </c>
      <c r="F8" s="15" t="str">
        <f>"Chỉ tiêu "&amp;$G8&amp;" Năm trước "&amp;$G$1</f>
        <v>Chỉ tiêu Lợi nhuận thuần từ hoạt động kinh doanh Năm trước chưa cân đối. Xem số chênh lệch bên dưới.</v>
      </c>
      <c r="G8" s="15" t="s">
        <v>170</v>
      </c>
      <c r="L8" s="15" t="s">
        <v>171</v>
      </c>
      <c r="P8" s="22"/>
      <c r="Q8" s="22"/>
    </row>
    <row r="9" spans="1:17">
      <c r="A9" s="13" t="s">
        <v>1092</v>
      </c>
      <c r="B9" s="28" t="s">
        <v>586</v>
      </c>
      <c r="C9" s="13"/>
      <c r="D9" s="13"/>
      <c r="E9" s="13" t="s">
        <v>1093</v>
      </c>
      <c r="L9" s="15" t="s">
        <v>173</v>
      </c>
      <c r="P9" s="22"/>
      <c r="Q9" s="22"/>
    </row>
    <row r="10" spans="1:17">
      <c r="A10" s="13" t="s">
        <v>1094</v>
      </c>
      <c r="B10" s="28" t="s">
        <v>660</v>
      </c>
      <c r="C10" s="13"/>
      <c r="D10" s="13"/>
      <c r="E10" s="13" t="s">
        <v>1095</v>
      </c>
      <c r="L10" s="15" t="s">
        <v>176</v>
      </c>
      <c r="P10" s="22"/>
      <c r="Q10" s="22"/>
    </row>
    <row r="11" spans="1:17">
      <c r="A11" s="13" t="s">
        <v>1096</v>
      </c>
      <c r="B11" s="28" t="s">
        <v>663</v>
      </c>
      <c r="C11" s="13"/>
      <c r="D11" s="13"/>
      <c r="E11" s="13" t="s">
        <v>1097</v>
      </c>
      <c r="F11" s="15" t="str">
        <f>"Chỉ tiêu "&amp;$G11&amp;" Năm trước "&amp;$G$1</f>
        <v>Chỉ tiêu Lợi nhuận khác Năm trước chưa cân đối. Xem số chênh lệch bên dưới.</v>
      </c>
      <c r="G11" s="15" t="s">
        <v>179</v>
      </c>
      <c r="L11" s="15" t="s">
        <v>170</v>
      </c>
      <c r="P11" s="22"/>
      <c r="Q11" s="22"/>
    </row>
    <row r="12" spans="1:17">
      <c r="A12" s="13" t="s">
        <v>1098</v>
      </c>
      <c r="B12" s="28" t="s">
        <v>666</v>
      </c>
      <c r="C12" s="13"/>
      <c r="D12" s="13"/>
      <c r="E12" s="13" t="s">
        <v>1099</v>
      </c>
      <c r="F12" s="15" t="str">
        <f>"Chỉ tiêu "&amp;$G12&amp;" Năm trước "&amp;$G$1</f>
        <v>Chỉ tiêu Tổng lợi nhuận kế toán trước thuế Năm trước chưa cân đối. Xem số chênh lệch bên dưới.</v>
      </c>
      <c r="G12" s="15" t="s">
        <v>182</v>
      </c>
      <c r="L12" s="15" t="s">
        <v>183</v>
      </c>
      <c r="P12" s="22"/>
      <c r="Q12" s="22"/>
    </row>
    <row r="13" spans="1:17">
      <c r="A13" s="13" t="s">
        <v>1100</v>
      </c>
      <c r="B13" s="28" t="s">
        <v>669</v>
      </c>
      <c r="C13" s="13"/>
      <c r="D13" s="13"/>
      <c r="E13" s="13" t="s">
        <v>1101</v>
      </c>
      <c r="L13" s="15" t="s">
        <v>186</v>
      </c>
      <c r="P13" s="22"/>
      <c r="Q13" s="22"/>
    </row>
    <row r="14" spans="1:17">
      <c r="A14" s="23" t="s">
        <v>1102</v>
      </c>
      <c r="B14" s="29" t="s">
        <v>593</v>
      </c>
      <c r="C14" s="13"/>
      <c r="D14" s="13"/>
      <c r="E14" s="23" t="s">
        <v>1103</v>
      </c>
      <c r="F14" s="15" t="str">
        <f>"Chỉ tiêu "&amp;$G14&amp;" Năm trước "&amp;$G$1</f>
        <v>Chỉ tiêu Lợi nhuận sau thuế thu nhập doanh nghiệp Năm trước chưa cân đối. Xem số chênh lệch bên dưới.</v>
      </c>
      <c r="G14" s="15" t="s">
        <v>189</v>
      </c>
      <c r="L14" s="15" t="s">
        <v>179</v>
      </c>
      <c r="P14" s="22"/>
      <c r="Q14" s="22"/>
    </row>
    <row r="15" spans="1:17">
      <c r="A15" s="13" t="s">
        <v>1104</v>
      </c>
      <c r="B15" s="28" t="s">
        <v>596</v>
      </c>
      <c r="C15" s="13"/>
      <c r="D15" s="13"/>
      <c r="E15" s="13" t="s">
        <v>1105</v>
      </c>
      <c r="F15" s="26" t="s">
        <v>192</v>
      </c>
      <c r="G15" s="26"/>
      <c r="H15" s="26"/>
      <c r="I15" s="26"/>
      <c r="J15" s="26"/>
      <c r="K15" s="26"/>
      <c r="L15" s="15" t="s">
        <v>182</v>
      </c>
      <c r="P15" s="22"/>
      <c r="Q15" s="22"/>
    </row>
    <row r="16" spans="1:17">
      <c r="A16" s="13" t="s">
        <v>1106</v>
      </c>
      <c r="B16" s="28" t="s">
        <v>599</v>
      </c>
      <c r="C16" s="13"/>
      <c r="D16" s="13"/>
      <c r="E16" s="13" t="s">
        <v>1107</v>
      </c>
      <c r="F16" s="26" t="s">
        <v>195</v>
      </c>
      <c r="G16" s="26"/>
      <c r="H16" s="26"/>
      <c r="I16" s="26"/>
      <c r="J16" s="26"/>
      <c r="K16" s="26"/>
      <c r="L16" s="15" t="s">
        <v>196</v>
      </c>
      <c r="P16" s="22"/>
      <c r="Q16" s="22"/>
    </row>
    <row r="17" spans="1:17">
      <c r="A17" s="23" t="s">
        <v>1108</v>
      </c>
      <c r="B17" s="29" t="s">
        <v>602</v>
      </c>
      <c r="C17" s="13"/>
      <c r="D17" s="13"/>
      <c r="E17" s="23" t="s">
        <v>1109</v>
      </c>
      <c r="F17" s="15" t="str">
        <f ca="1">"Phải điền giá trị cho chỉ tiêu "&amp;H17&amp;" Năm nay"&amp;" (không có phải điền bằng 0)"</f>
        <v>Phải điền giá trị cho chỉ tiêu 0 Năm nay (không có phải điền bằng 0)</v>
      </c>
      <c r="G17" s="15">
        <f ca="1">INDIRECT(ADDRESS(MATCH(TRUE,INDEX(C1:C17="",0),0),18),TRUE)</f>
        <v>0</v>
      </c>
      <c r="H17" s="15">
        <f ca="1">INDIRECT(ADDRESS(MATCH(TRUE,INDEX(D1:D17="",0),0),18),TRUE)</f>
        <v>0</v>
      </c>
      <c r="J17" s="26"/>
      <c r="K17" s="26"/>
      <c r="L17" s="15" t="s">
        <v>189</v>
      </c>
      <c r="P17" s="22"/>
      <c r="Q17" s="22"/>
    </row>
    <row r="18" spans="1:17">
      <c r="A18" s="23" t="s">
        <v>1110</v>
      </c>
      <c r="B18" s="29" t="s">
        <v>605</v>
      </c>
      <c r="C18" s="13"/>
      <c r="D18" s="13"/>
      <c r="E18" s="23" t="s">
        <v>1111</v>
      </c>
    </row>
    <row r="19" spans="1:17">
      <c r="A19" s="13" t="s">
        <v>1112</v>
      </c>
      <c r="B19" s="28" t="s">
        <v>608</v>
      </c>
      <c r="C19" s="13"/>
      <c r="D19" s="13"/>
      <c r="E19" s="13" t="s">
        <v>1113</v>
      </c>
    </row>
    <row r="20" spans="1:17">
      <c r="A20" s="13" t="s">
        <v>1114</v>
      </c>
      <c r="B20" s="28" t="s">
        <v>611</v>
      </c>
      <c r="C20" s="13"/>
      <c r="D20" s="13"/>
      <c r="E20" s="13" t="s">
        <v>1115</v>
      </c>
    </row>
    <row r="21" spans="1:17">
      <c r="A21" s="23" t="s">
        <v>1116</v>
      </c>
      <c r="B21" s="29" t="s">
        <v>614</v>
      </c>
      <c r="C21" s="13"/>
      <c r="D21" s="13"/>
      <c r="E21" s="23" t="s">
        <v>1117</v>
      </c>
    </row>
    <row r="22" spans="1:17">
      <c r="A22" s="13" t="s">
        <v>1118</v>
      </c>
      <c r="B22" s="28" t="s">
        <v>694</v>
      </c>
      <c r="C22" s="13"/>
      <c r="D22" s="13"/>
      <c r="E22" s="13" t="s">
        <v>1119</v>
      </c>
    </row>
    <row r="23" spans="1:17">
      <c r="A23" s="13" t="s">
        <v>1120</v>
      </c>
      <c r="B23" s="28" t="s">
        <v>1121</v>
      </c>
      <c r="C23" s="13"/>
      <c r="D23" s="13"/>
      <c r="E23" s="13" t="s">
        <v>1122</v>
      </c>
    </row>
    <row r="24" spans="1:17">
      <c r="A24" s="13" t="s">
        <v>1123</v>
      </c>
      <c r="B24" s="28" t="s">
        <v>617</v>
      </c>
      <c r="C24" s="13"/>
      <c r="D24" s="13"/>
      <c r="E24" s="13" t="s">
        <v>1124</v>
      </c>
    </row>
    <row r="25" spans="1:17">
      <c r="A25" s="14" t="s">
        <v>1125</v>
      </c>
      <c r="B25" s="129" t="s">
        <v>620</v>
      </c>
      <c r="C25" s="14"/>
      <c r="D25" s="14"/>
      <c r="E25" s="14" t="s">
        <v>1126</v>
      </c>
    </row>
  </sheetData>
  <conditionalFormatting sqref="C4:E4">
    <cfRule type="expression" dxfId="33" priority="10">
      <formula>OR(#REF!&lt;&gt;0,#REF!&lt;&gt;0)</formula>
    </cfRule>
  </conditionalFormatting>
  <conditionalFormatting sqref="C6:E6">
    <cfRule type="expression" dxfId="32" priority="11">
      <formula>OR(#REF!&lt;&gt;0,#REF!&lt;&gt;0)</formula>
    </cfRule>
  </conditionalFormatting>
  <conditionalFormatting sqref="C14:E14">
    <cfRule type="expression" dxfId="31" priority="12">
      <formula>OR(#REF!&lt;&gt;0,#REF!&lt;&gt;0)</formula>
    </cfRule>
  </conditionalFormatting>
  <conditionalFormatting sqref="C11:E11">
    <cfRule type="expression" dxfId="30" priority="13">
      <formula>OR(#REF!&lt;&gt;0,#REF!&lt;&gt;0)</formula>
    </cfRule>
  </conditionalFormatting>
  <conditionalFormatting sqref="C15:E15">
    <cfRule type="expression" dxfId="29" priority="14">
      <formula>OR(#REF!&lt;&gt;0,#REF!&lt;&gt;0)</formula>
    </cfRule>
  </conditionalFormatting>
  <conditionalFormatting sqref="C25:E25">
    <cfRule type="expression" dxfId="28" priority="8">
      <formula>OR(#REF!&lt;&gt;0,#REF!&lt;&gt;0)</formula>
    </cfRule>
    <cfRule type="expression" dxfId="27" priority="9">
      <formula>OR(#REF!&lt;&gt;0,#REF!&lt;&gt;0)</formula>
    </cfRule>
  </conditionalFormatting>
  <conditionalFormatting sqref="A4:B4">
    <cfRule type="expression" dxfId="26" priority="3">
      <formula>OR(#REF!&lt;&gt;0,#REF!&lt;&gt;0)</formula>
    </cfRule>
  </conditionalFormatting>
  <conditionalFormatting sqref="A6:B6">
    <cfRule type="expression" dxfId="25" priority="4">
      <formula>OR(#REF!&lt;&gt;0,#REF!&lt;&gt;0)</formula>
    </cfRule>
  </conditionalFormatting>
  <conditionalFormatting sqref="A14:B14">
    <cfRule type="expression" dxfId="24" priority="5">
      <formula>OR(#REF!&lt;&gt;0,#REF!&lt;&gt;0)</formula>
    </cfRule>
  </conditionalFormatting>
  <conditionalFormatting sqref="A11:B11">
    <cfRule type="expression" dxfId="23" priority="6">
      <formula>OR(#REF!&lt;&gt;0,#REF!&lt;&gt;0)</formula>
    </cfRule>
  </conditionalFormatting>
  <conditionalFormatting sqref="A15:B15">
    <cfRule type="expression" dxfId="22" priority="7">
      <formula>OR(#REF!&lt;&gt;0,#REF!&lt;&gt;0)</formula>
    </cfRule>
  </conditionalFormatting>
  <conditionalFormatting sqref="A25:B25">
    <cfRule type="expression" dxfId="21" priority="1">
      <formula>OR(#REF!&lt;&gt;0,#REF!&lt;&gt;0)</formula>
    </cfRule>
    <cfRule type="expression" dxfId="20" priority="2">
      <formula>OR(#REF!&lt;&gt;0,#REF!&lt;&gt;0)</formula>
    </cfRule>
  </conditionalFormatting>
  <dataValidations count="1">
    <dataValidation type="decimal" operator="notEqual" allowBlank="1" showInputMessage="1" showErrorMessage="1" sqref="C2:D17" xr:uid="{00000000-0002-0000-0900-000000000000}">
      <formula1>-9.99999999999999E+36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1"/>
  <sheetViews>
    <sheetView zoomScale="90" zoomScaleNormal="90" workbookViewId="0">
      <selection activeCell="G1" sqref="G1"/>
    </sheetView>
  </sheetViews>
  <sheetFormatPr defaultColWidth="9.140625" defaultRowHeight="12.75"/>
  <cols>
    <col min="1" max="1" width="14.85546875" style="158" bestFit="1" customWidth="1"/>
    <col min="2" max="2" width="6.85546875" style="159" bestFit="1" customWidth="1"/>
    <col min="3" max="3" width="19.85546875" style="37" customWidth="1"/>
    <col min="4" max="4" width="21.42578125" style="35" customWidth="1"/>
    <col min="5" max="5" width="49.85546875" style="158" customWidth="1"/>
    <col min="6" max="16384" width="9.140625" style="35"/>
  </cols>
  <sheetData>
    <row r="1" spans="1:5" s="36" customFormat="1" ht="75" customHeight="1">
      <c r="A1" s="109" t="s">
        <v>0</v>
      </c>
      <c r="B1" s="109" t="s">
        <v>1</v>
      </c>
      <c r="C1" s="34" t="s">
        <v>2</v>
      </c>
      <c r="D1" s="38" t="s">
        <v>3</v>
      </c>
      <c r="E1" s="109" t="s">
        <v>4</v>
      </c>
    </row>
    <row r="2" spans="1:5" ht="15">
      <c r="A2" s="147" t="s">
        <v>1127</v>
      </c>
      <c r="B2" s="152"/>
      <c r="C2" s="59"/>
      <c r="D2" s="59"/>
      <c r="E2" s="147" t="s">
        <v>202</v>
      </c>
    </row>
    <row r="3" spans="1:5" ht="15">
      <c r="A3" s="146" t="s">
        <v>1128</v>
      </c>
      <c r="B3" s="151" t="s">
        <v>149</v>
      </c>
      <c r="C3" s="58"/>
      <c r="D3" s="58"/>
      <c r="E3" s="146" t="s">
        <v>1129</v>
      </c>
    </row>
    <row r="4" spans="1:5" ht="15">
      <c r="A4" s="146" t="s">
        <v>1130</v>
      </c>
      <c r="B4" s="151" t="s">
        <v>1131</v>
      </c>
      <c r="C4" s="58"/>
      <c r="D4" s="58"/>
      <c r="E4" s="146" t="s">
        <v>625</v>
      </c>
    </row>
    <row r="5" spans="1:5" ht="15">
      <c r="A5" s="146" t="s">
        <v>1132</v>
      </c>
      <c r="B5" s="151" t="s">
        <v>153</v>
      </c>
      <c r="C5" s="58"/>
      <c r="D5" s="58"/>
      <c r="E5" s="146" t="s">
        <v>1133</v>
      </c>
    </row>
    <row r="6" spans="1:5" ht="15">
      <c r="A6" s="146" t="s">
        <v>1134</v>
      </c>
      <c r="B6" s="151" t="s">
        <v>208</v>
      </c>
      <c r="C6" s="58"/>
      <c r="D6" s="58"/>
      <c r="E6" s="146" t="s">
        <v>1135</v>
      </c>
    </row>
    <row r="7" spans="1:5" ht="30">
      <c r="A7" s="146" t="s">
        <v>1136</v>
      </c>
      <c r="B7" s="151" t="s">
        <v>211</v>
      </c>
      <c r="C7" s="58"/>
      <c r="D7" s="58"/>
      <c r="E7" s="146" t="s">
        <v>1137</v>
      </c>
    </row>
    <row r="8" spans="1:5" ht="15">
      <c r="A8" s="146" t="s">
        <v>1138</v>
      </c>
      <c r="B8" s="151" t="s">
        <v>214</v>
      </c>
      <c r="C8" s="58"/>
      <c r="D8" s="58"/>
      <c r="E8" s="146" t="s">
        <v>1139</v>
      </c>
    </row>
    <row r="9" spans="1:5" ht="15">
      <c r="A9" s="146" t="s">
        <v>1140</v>
      </c>
      <c r="B9" s="151" t="s">
        <v>217</v>
      </c>
      <c r="C9" s="58"/>
      <c r="D9" s="58"/>
      <c r="E9" s="146" t="s">
        <v>1141</v>
      </c>
    </row>
    <row r="10" spans="1:5" ht="15">
      <c r="A10" s="146" t="s">
        <v>1142</v>
      </c>
      <c r="B10" s="151" t="s">
        <v>220</v>
      </c>
      <c r="C10" s="58"/>
      <c r="D10" s="58"/>
      <c r="E10" s="146" t="s">
        <v>1143</v>
      </c>
    </row>
    <row r="11" spans="1:5" ht="28.5">
      <c r="A11" s="147" t="s">
        <v>1144</v>
      </c>
      <c r="B11" s="152" t="s">
        <v>223</v>
      </c>
      <c r="C11" s="58"/>
      <c r="D11" s="58"/>
      <c r="E11" s="147" t="s">
        <v>634</v>
      </c>
    </row>
    <row r="12" spans="1:5" ht="15">
      <c r="A12" s="146" t="s">
        <v>1145</v>
      </c>
      <c r="B12" s="151" t="s">
        <v>226</v>
      </c>
      <c r="C12" s="59"/>
      <c r="D12" s="59"/>
      <c r="E12" s="146" t="s">
        <v>1146</v>
      </c>
    </row>
    <row r="13" spans="1:5" ht="15">
      <c r="A13" s="146" t="s">
        <v>1147</v>
      </c>
      <c r="B13" s="151" t="s">
        <v>574</v>
      </c>
      <c r="C13" s="59"/>
      <c r="D13" s="59"/>
      <c r="E13" s="146" t="s">
        <v>231</v>
      </c>
    </row>
    <row r="14" spans="1:5" ht="30">
      <c r="A14" s="146" t="s">
        <v>1148</v>
      </c>
      <c r="B14" s="151" t="s">
        <v>577</v>
      </c>
      <c r="C14" s="59"/>
      <c r="D14" s="59"/>
      <c r="E14" s="146" t="s">
        <v>1149</v>
      </c>
    </row>
    <row r="15" spans="1:5" ht="15">
      <c r="A15" s="146" t="s">
        <v>1150</v>
      </c>
      <c r="B15" s="151" t="s">
        <v>639</v>
      </c>
      <c r="C15" s="59"/>
      <c r="D15" s="59"/>
      <c r="E15" s="146" t="s">
        <v>1151</v>
      </c>
    </row>
    <row r="16" spans="1:5" ht="15">
      <c r="A16" s="146" t="s">
        <v>1152</v>
      </c>
      <c r="B16" s="151" t="s">
        <v>641</v>
      </c>
      <c r="C16" s="59"/>
      <c r="D16" s="59"/>
      <c r="E16" s="146" t="s">
        <v>1153</v>
      </c>
    </row>
    <row r="17" spans="1:5" ht="15">
      <c r="A17" s="146" t="s">
        <v>1154</v>
      </c>
      <c r="B17" s="151" t="s">
        <v>643</v>
      </c>
      <c r="C17" s="59"/>
      <c r="D17" s="59"/>
      <c r="E17" s="146" t="s">
        <v>1155</v>
      </c>
    </row>
    <row r="18" spans="1:5" ht="15">
      <c r="A18" s="146" t="s">
        <v>1156</v>
      </c>
      <c r="B18" s="151" t="s">
        <v>645</v>
      </c>
      <c r="C18" s="59"/>
      <c r="D18" s="59"/>
      <c r="E18" s="146" t="s">
        <v>1157</v>
      </c>
    </row>
    <row r="19" spans="1:5" ht="15">
      <c r="A19" s="146" t="s">
        <v>1158</v>
      </c>
      <c r="B19" s="151" t="s">
        <v>647</v>
      </c>
      <c r="C19" s="59"/>
      <c r="D19" s="59"/>
      <c r="E19" s="146" t="s">
        <v>243</v>
      </c>
    </row>
    <row r="20" spans="1:5" ht="15">
      <c r="A20" s="146" t="s">
        <v>1159</v>
      </c>
      <c r="B20" s="151" t="s">
        <v>649</v>
      </c>
      <c r="C20" s="59"/>
      <c r="D20" s="59"/>
      <c r="E20" s="146" t="s">
        <v>1160</v>
      </c>
    </row>
    <row r="21" spans="1:5" ht="28.5">
      <c r="A21" s="147" t="s">
        <v>1161</v>
      </c>
      <c r="B21" s="152" t="s">
        <v>579</v>
      </c>
      <c r="C21" s="59"/>
      <c r="D21" s="59"/>
      <c r="E21" s="147" t="s">
        <v>1162</v>
      </c>
    </row>
    <row r="22" spans="1:5" ht="15">
      <c r="A22" s="147" t="s">
        <v>1163</v>
      </c>
      <c r="B22" s="152"/>
      <c r="C22" s="59"/>
      <c r="D22" s="59"/>
      <c r="E22" s="147" t="s">
        <v>250</v>
      </c>
    </row>
    <row r="23" spans="1:5" ht="30">
      <c r="A23" s="146" t="s">
        <v>1164</v>
      </c>
      <c r="B23" s="151" t="s">
        <v>582</v>
      </c>
      <c r="C23" s="59"/>
      <c r="D23" s="59"/>
      <c r="E23" s="146" t="s">
        <v>1165</v>
      </c>
    </row>
    <row r="24" spans="1:5" ht="30">
      <c r="A24" s="146" t="s">
        <v>1166</v>
      </c>
      <c r="B24" s="151" t="s">
        <v>584</v>
      </c>
      <c r="C24" s="59"/>
      <c r="D24" s="59"/>
      <c r="E24" s="146" t="s">
        <v>1167</v>
      </c>
    </row>
    <row r="25" spans="1:5" ht="15">
      <c r="A25" s="146" t="s">
        <v>1168</v>
      </c>
      <c r="B25" s="151" t="s">
        <v>586</v>
      </c>
      <c r="C25" s="59"/>
      <c r="D25" s="59"/>
      <c r="E25" s="146" t="s">
        <v>1169</v>
      </c>
    </row>
    <row r="26" spans="1:5" ht="30">
      <c r="A26" s="146" t="s">
        <v>1170</v>
      </c>
      <c r="B26" s="151" t="s">
        <v>660</v>
      </c>
      <c r="C26" s="59"/>
      <c r="D26" s="59"/>
      <c r="E26" s="146" t="s">
        <v>1171</v>
      </c>
    </row>
    <row r="27" spans="1:5" ht="15">
      <c r="A27" s="146" t="s">
        <v>1172</v>
      </c>
      <c r="B27" s="151" t="s">
        <v>663</v>
      </c>
      <c r="C27" s="59"/>
      <c r="D27" s="59"/>
      <c r="E27" s="146" t="s">
        <v>1173</v>
      </c>
    </row>
    <row r="28" spans="1:5" ht="15">
      <c r="A28" s="146" t="s">
        <v>1174</v>
      </c>
      <c r="B28" s="151" t="s">
        <v>666</v>
      </c>
      <c r="C28" s="59"/>
      <c r="D28" s="59"/>
      <c r="E28" s="146" t="s">
        <v>1175</v>
      </c>
    </row>
    <row r="29" spans="1:5" ht="15">
      <c r="A29" s="146" t="s">
        <v>1176</v>
      </c>
      <c r="B29" s="151" t="s">
        <v>669</v>
      </c>
      <c r="C29" s="59"/>
      <c r="D29" s="59"/>
      <c r="E29" s="146" t="s">
        <v>1177</v>
      </c>
    </row>
    <row r="30" spans="1:5" ht="28.5">
      <c r="A30" s="147" t="s">
        <v>1178</v>
      </c>
      <c r="B30" s="152" t="s">
        <v>593</v>
      </c>
      <c r="C30" s="59"/>
      <c r="D30" s="59"/>
      <c r="E30" s="147" t="s">
        <v>1179</v>
      </c>
    </row>
    <row r="31" spans="1:5" ht="15">
      <c r="A31" s="147" t="s">
        <v>1180</v>
      </c>
      <c r="B31" s="152"/>
      <c r="C31" s="59"/>
      <c r="D31" s="59"/>
      <c r="E31" s="147" t="s">
        <v>265</v>
      </c>
    </row>
    <row r="32" spans="1:5" ht="30">
      <c r="A32" s="146" t="s">
        <v>1181</v>
      </c>
      <c r="B32" s="151" t="s">
        <v>596</v>
      </c>
      <c r="C32" s="59"/>
      <c r="D32" s="59"/>
      <c r="E32" s="146" t="s">
        <v>1182</v>
      </c>
    </row>
    <row r="33" spans="1:5" ht="30">
      <c r="A33" s="146" t="s">
        <v>1183</v>
      </c>
      <c r="B33" s="151" t="s">
        <v>599</v>
      </c>
      <c r="C33" s="59"/>
      <c r="D33" s="59"/>
      <c r="E33" s="146" t="s">
        <v>1184</v>
      </c>
    </row>
    <row r="34" spans="1:5" ht="15">
      <c r="A34" s="146" t="s">
        <v>1185</v>
      </c>
      <c r="B34" s="151" t="s">
        <v>678</v>
      </c>
      <c r="C34" s="59"/>
      <c r="D34" s="59"/>
      <c r="E34" s="146" t="s">
        <v>1186</v>
      </c>
    </row>
    <row r="35" spans="1:5" ht="15">
      <c r="A35" s="146" t="s">
        <v>1187</v>
      </c>
      <c r="B35" s="151" t="s">
        <v>680</v>
      </c>
      <c r="C35" s="59"/>
      <c r="D35" s="59"/>
      <c r="E35" s="146" t="s">
        <v>1188</v>
      </c>
    </row>
    <row r="36" spans="1:5" ht="15">
      <c r="A36" s="146" t="s">
        <v>1189</v>
      </c>
      <c r="B36" s="151" t="s">
        <v>683</v>
      </c>
      <c r="C36" s="59"/>
      <c r="D36" s="59"/>
      <c r="E36" s="146" t="s">
        <v>1190</v>
      </c>
    </row>
    <row r="37" spans="1:5" ht="15">
      <c r="A37" s="154" t="s">
        <v>1191</v>
      </c>
      <c r="B37" s="156" t="s">
        <v>686</v>
      </c>
      <c r="C37" s="39"/>
      <c r="D37" s="39"/>
      <c r="E37" s="154" t="s">
        <v>687</v>
      </c>
    </row>
    <row r="38" spans="1:5" ht="15">
      <c r="A38" s="148" t="s">
        <v>1192</v>
      </c>
      <c r="B38" s="153" t="s">
        <v>602</v>
      </c>
      <c r="C38" s="39"/>
      <c r="D38" s="39"/>
      <c r="E38" s="148" t="s">
        <v>1193</v>
      </c>
    </row>
    <row r="39" spans="1:5" ht="15">
      <c r="A39" s="148" t="s">
        <v>1194</v>
      </c>
      <c r="B39" s="153" t="s">
        <v>605</v>
      </c>
      <c r="C39" s="39"/>
      <c r="D39" s="39"/>
      <c r="E39" s="148" t="s">
        <v>317</v>
      </c>
    </row>
    <row r="40" spans="1:5" ht="15">
      <c r="A40" s="154" t="s">
        <v>1195</v>
      </c>
      <c r="B40" s="156" t="s">
        <v>614</v>
      </c>
      <c r="C40" s="39"/>
      <c r="D40" s="39"/>
      <c r="E40" s="154" t="s">
        <v>277</v>
      </c>
    </row>
    <row r="41" spans="1:5" ht="15">
      <c r="A41" s="154" t="s">
        <v>1196</v>
      </c>
      <c r="B41" s="156" t="s">
        <v>694</v>
      </c>
      <c r="C41" s="39"/>
      <c r="D41" s="39"/>
      <c r="E41" s="154" t="s">
        <v>279</v>
      </c>
    </row>
    <row r="42" spans="1:5" ht="15">
      <c r="A42" s="150" t="s">
        <v>1197</v>
      </c>
      <c r="B42" s="149" t="s">
        <v>617</v>
      </c>
      <c r="C42" s="66"/>
      <c r="D42" s="66"/>
      <c r="E42" s="150" t="s">
        <v>281</v>
      </c>
    </row>
    <row r="43" spans="1:5" ht="15">
      <c r="C43"/>
    </row>
    <row r="44" spans="1:5" ht="15">
      <c r="C44"/>
    </row>
    <row r="45" spans="1:5" ht="15">
      <c r="C45"/>
    </row>
    <row r="46" spans="1:5" ht="15">
      <c r="C46"/>
    </row>
    <row r="47" spans="1:5" ht="15">
      <c r="C47"/>
    </row>
    <row r="48" spans="1:5" ht="15">
      <c r="C48"/>
    </row>
    <row r="49" spans="3:3" ht="15">
      <c r="C49"/>
    </row>
    <row r="50" spans="3:3" ht="15">
      <c r="C50"/>
    </row>
    <row r="51" spans="3:3" ht="15">
      <c r="C51"/>
    </row>
    <row r="52" spans="3:3" ht="15">
      <c r="C52"/>
    </row>
    <row r="53" spans="3:3" ht="15">
      <c r="C53"/>
    </row>
    <row r="54" spans="3:3" ht="15">
      <c r="C54"/>
    </row>
    <row r="55" spans="3:3" ht="15">
      <c r="C55"/>
    </row>
    <row r="56" spans="3:3" ht="15">
      <c r="C56"/>
    </row>
    <row r="57" spans="3:3" ht="15">
      <c r="C57"/>
    </row>
    <row r="58" spans="3:3" ht="15">
      <c r="C58"/>
    </row>
    <row r="59" spans="3:3" ht="15">
      <c r="C59"/>
    </row>
    <row r="60" spans="3:3" ht="15">
      <c r="C60"/>
    </row>
    <row r="61" spans="3:3" ht="15">
      <c r="C61"/>
    </row>
    <row r="62" spans="3:3" ht="15">
      <c r="C62"/>
    </row>
    <row r="63" spans="3:3" ht="15">
      <c r="C63"/>
    </row>
    <row r="64" spans="3:3" ht="15">
      <c r="C64"/>
    </row>
    <row r="65" spans="3:3" ht="15">
      <c r="C65"/>
    </row>
    <row r="66" spans="3:3" ht="15">
      <c r="C66"/>
    </row>
    <row r="67" spans="3:3" ht="15">
      <c r="C67"/>
    </row>
    <row r="68" spans="3:3" ht="15">
      <c r="C68"/>
    </row>
    <row r="69" spans="3:3" ht="15">
      <c r="C69"/>
    </row>
    <row r="70" spans="3:3" ht="15">
      <c r="C70"/>
    </row>
    <row r="71" spans="3:3" ht="15">
      <c r="C71"/>
    </row>
  </sheetData>
  <conditionalFormatting sqref="C4:E4">
    <cfRule type="expression" dxfId="19" priority="5">
      <formula>SUM(#REF!,#REF!)&lt;&gt;0</formula>
    </cfRule>
  </conditionalFormatting>
  <conditionalFormatting sqref="C11:E11">
    <cfRule type="expression" dxfId="18" priority="6">
      <formula>SUM(#REF!,#REF!)&lt;&gt;0</formula>
    </cfRule>
  </conditionalFormatting>
  <conditionalFormatting sqref="C21:E21">
    <cfRule type="expression" dxfId="17" priority="7">
      <formula>SUM(#REF!,#REF!)&lt;&gt;0</formula>
    </cfRule>
  </conditionalFormatting>
  <conditionalFormatting sqref="C28:E28">
    <cfRule type="expression" dxfId="16" priority="8">
      <formula>SUM(#REF!,#REF!)&lt;&gt;0</formula>
    </cfRule>
  </conditionalFormatting>
  <conditionalFormatting sqref="A4:B4">
    <cfRule type="expression" dxfId="15" priority="1">
      <formula>SUM(#REF!,#REF!)&lt;&gt;0</formula>
    </cfRule>
  </conditionalFormatting>
  <conditionalFormatting sqref="A11:B11">
    <cfRule type="expression" dxfId="14" priority="2">
      <formula>SUM(#REF!,#REF!)&lt;&gt;0</formula>
    </cfRule>
  </conditionalFormatting>
  <conditionalFormatting sqref="A21:B21">
    <cfRule type="expression" dxfId="13" priority="3">
      <formula>SUM(#REF!,#REF!)&lt;&gt;0</formula>
    </cfRule>
  </conditionalFormatting>
  <conditionalFormatting sqref="A28:B28">
    <cfRule type="expression" dxfId="12" priority="4">
      <formula>SUM(#REF!,#REF!)&lt;&gt;0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1"/>
  <sheetViews>
    <sheetView zoomScale="90" zoomScaleNormal="90" workbookViewId="0">
      <selection activeCell="E10" sqref="E10"/>
    </sheetView>
  </sheetViews>
  <sheetFormatPr defaultColWidth="9.140625" defaultRowHeight="15"/>
  <cols>
    <col min="1" max="1" width="14.7109375" style="122" bestFit="1" customWidth="1"/>
    <col min="2" max="2" width="6.85546875" style="157" bestFit="1" customWidth="1"/>
    <col min="3" max="3" width="19.85546875" style="17" customWidth="1"/>
    <col min="4" max="4" width="20.7109375" style="17" customWidth="1"/>
    <col min="5" max="5" width="70.28515625" style="122" bestFit="1" customWidth="1"/>
    <col min="6" max="6" width="9.140625" style="52"/>
    <col min="7" max="16384" width="9.140625" style="53"/>
  </cols>
  <sheetData>
    <row r="1" spans="1:6" s="56" customFormat="1" ht="78" customHeight="1">
      <c r="A1" s="109" t="s">
        <v>0</v>
      </c>
      <c r="B1" s="109" t="s">
        <v>1</v>
      </c>
      <c r="C1" s="155" t="s">
        <v>2</v>
      </c>
      <c r="D1" s="155" t="s">
        <v>3</v>
      </c>
      <c r="E1" s="109" t="s">
        <v>4</v>
      </c>
      <c r="F1" s="55"/>
    </row>
    <row r="2" spans="1:6">
      <c r="A2" s="147" t="s">
        <v>1198</v>
      </c>
      <c r="B2" s="152"/>
      <c r="C2" s="60"/>
      <c r="D2" s="60"/>
      <c r="E2" s="147" t="s">
        <v>202</v>
      </c>
    </row>
    <row r="3" spans="1:6">
      <c r="A3" s="146" t="s">
        <v>1199</v>
      </c>
      <c r="B3" s="151" t="s">
        <v>149</v>
      </c>
      <c r="C3" s="61"/>
      <c r="D3" s="61"/>
      <c r="E3" s="146" t="s">
        <v>284</v>
      </c>
    </row>
    <row r="4" spans="1:6">
      <c r="A4" s="146" t="s">
        <v>1200</v>
      </c>
      <c r="B4" s="151" t="s">
        <v>153</v>
      </c>
      <c r="C4" s="61"/>
      <c r="D4" s="61"/>
      <c r="E4" s="146" t="s">
        <v>700</v>
      </c>
    </row>
    <row r="5" spans="1:6">
      <c r="A5" s="146" t="s">
        <v>1201</v>
      </c>
      <c r="B5" s="151" t="s">
        <v>208</v>
      </c>
      <c r="C5" s="61"/>
      <c r="D5" s="61"/>
      <c r="E5" s="146" t="s">
        <v>288</v>
      </c>
    </row>
    <row r="6" spans="1:6">
      <c r="A6" s="146" t="s">
        <v>1202</v>
      </c>
      <c r="B6" s="151" t="s">
        <v>211</v>
      </c>
      <c r="C6" s="61"/>
      <c r="D6" s="61"/>
      <c r="E6" s="146" t="s">
        <v>1203</v>
      </c>
    </row>
    <row r="7" spans="1:6">
      <c r="A7" s="146" t="s">
        <v>1204</v>
      </c>
      <c r="B7" s="151" t="s">
        <v>214</v>
      </c>
      <c r="C7" s="61"/>
      <c r="D7" s="61"/>
      <c r="E7" s="146" t="s">
        <v>292</v>
      </c>
    </row>
    <row r="8" spans="1:6">
      <c r="A8" s="146" t="s">
        <v>1205</v>
      </c>
      <c r="B8" s="151" t="s">
        <v>217</v>
      </c>
      <c r="C8" s="61"/>
      <c r="D8" s="61"/>
      <c r="E8" s="146" t="s">
        <v>294</v>
      </c>
    </row>
    <row r="9" spans="1:6">
      <c r="A9" s="146" t="s">
        <v>1206</v>
      </c>
      <c r="B9" s="151" t="s">
        <v>220</v>
      </c>
      <c r="C9" s="61"/>
      <c r="D9" s="61"/>
      <c r="E9" s="146" t="s">
        <v>296</v>
      </c>
    </row>
    <row r="10" spans="1:6">
      <c r="A10" s="147" t="s">
        <v>1207</v>
      </c>
      <c r="B10" s="152" t="s">
        <v>579</v>
      </c>
      <c r="C10" s="60"/>
      <c r="D10" s="60"/>
      <c r="E10" s="163" t="s">
        <v>298</v>
      </c>
    </row>
    <row r="11" spans="1:6">
      <c r="A11" s="147" t="s">
        <v>1208</v>
      </c>
      <c r="B11" s="152"/>
      <c r="C11" s="60"/>
      <c r="D11" s="60"/>
      <c r="E11" s="147" t="s">
        <v>250</v>
      </c>
    </row>
    <row r="12" spans="1:6">
      <c r="A12" s="146" t="s">
        <v>1209</v>
      </c>
      <c r="B12" s="151" t="s">
        <v>582</v>
      </c>
      <c r="C12" s="60"/>
      <c r="D12" s="60"/>
      <c r="E12" s="146" t="s">
        <v>654</v>
      </c>
    </row>
    <row r="13" spans="1:6">
      <c r="A13" s="146" t="s">
        <v>1210</v>
      </c>
      <c r="B13" s="151" t="s">
        <v>584</v>
      </c>
      <c r="C13" s="60"/>
      <c r="D13" s="60"/>
      <c r="E13" s="146" t="s">
        <v>656</v>
      </c>
    </row>
    <row r="14" spans="1:6">
      <c r="A14" s="146" t="s">
        <v>1211</v>
      </c>
      <c r="B14" s="151" t="s">
        <v>586</v>
      </c>
      <c r="C14" s="60"/>
      <c r="D14" s="60"/>
      <c r="E14" s="146" t="s">
        <v>658</v>
      </c>
    </row>
    <row r="15" spans="1:6">
      <c r="A15" s="146" t="s">
        <v>1212</v>
      </c>
      <c r="B15" s="151" t="s">
        <v>660</v>
      </c>
      <c r="C15" s="60"/>
      <c r="D15" s="60"/>
      <c r="E15" s="146" t="s">
        <v>661</v>
      </c>
    </row>
    <row r="16" spans="1:6">
      <c r="A16" s="146" t="s">
        <v>1213</v>
      </c>
      <c r="B16" s="151" t="s">
        <v>663</v>
      </c>
      <c r="C16" s="60"/>
      <c r="D16" s="60"/>
      <c r="E16" s="146" t="s">
        <v>664</v>
      </c>
    </row>
    <row r="17" spans="1:5">
      <c r="A17" s="146" t="s">
        <v>1214</v>
      </c>
      <c r="B17" s="151" t="s">
        <v>666</v>
      </c>
      <c r="C17" s="60"/>
      <c r="D17" s="60"/>
      <c r="E17" s="146" t="s">
        <v>667</v>
      </c>
    </row>
    <row r="18" spans="1:5">
      <c r="A18" s="146" t="s">
        <v>1215</v>
      </c>
      <c r="B18" s="151" t="s">
        <v>669</v>
      </c>
      <c r="C18" s="60"/>
      <c r="D18" s="60"/>
      <c r="E18" s="146" t="s">
        <v>670</v>
      </c>
    </row>
    <row r="19" spans="1:5">
      <c r="A19" s="147" t="s">
        <v>1216</v>
      </c>
      <c r="B19" s="152" t="s">
        <v>593</v>
      </c>
      <c r="C19" s="60"/>
      <c r="D19" s="60"/>
      <c r="E19" s="163" t="s">
        <v>672</v>
      </c>
    </row>
    <row r="20" spans="1:5">
      <c r="A20" s="147" t="s">
        <v>1217</v>
      </c>
      <c r="B20" s="152"/>
      <c r="C20" s="60"/>
      <c r="D20" s="60"/>
      <c r="E20" s="147" t="s">
        <v>265</v>
      </c>
    </row>
    <row r="21" spans="1:5">
      <c r="A21" s="146" t="s">
        <v>1218</v>
      </c>
      <c r="B21" s="151" t="s">
        <v>596</v>
      </c>
      <c r="C21" s="60"/>
      <c r="D21" s="60"/>
      <c r="E21" s="146" t="s">
        <v>267</v>
      </c>
    </row>
    <row r="22" spans="1:5">
      <c r="A22" s="146" t="s">
        <v>1219</v>
      </c>
      <c r="B22" s="151" t="s">
        <v>599</v>
      </c>
      <c r="C22" s="60"/>
      <c r="D22" s="60"/>
      <c r="E22" s="164" t="s">
        <v>1220</v>
      </c>
    </row>
    <row r="23" spans="1:5">
      <c r="A23" s="146" t="s">
        <v>1221</v>
      </c>
      <c r="B23" s="151" t="s">
        <v>678</v>
      </c>
      <c r="C23" s="60"/>
      <c r="D23" s="60"/>
      <c r="E23" s="146" t="s">
        <v>1222</v>
      </c>
    </row>
    <row r="24" spans="1:5">
      <c r="A24" s="146" t="s">
        <v>1223</v>
      </c>
      <c r="B24" s="151" t="s">
        <v>680</v>
      </c>
      <c r="C24" s="60"/>
      <c r="D24" s="60"/>
      <c r="E24" s="146" t="s">
        <v>681</v>
      </c>
    </row>
    <row r="25" spans="1:5">
      <c r="A25" s="146" t="s">
        <v>1224</v>
      </c>
      <c r="B25" s="151" t="s">
        <v>683</v>
      </c>
      <c r="C25" s="60"/>
      <c r="D25" s="60"/>
      <c r="E25" s="146" t="s">
        <v>684</v>
      </c>
    </row>
    <row r="26" spans="1:5">
      <c r="A26" s="146" t="s">
        <v>1225</v>
      </c>
      <c r="B26" s="151" t="s">
        <v>686</v>
      </c>
      <c r="C26" s="60"/>
      <c r="D26" s="60"/>
      <c r="E26" s="146" t="s">
        <v>687</v>
      </c>
    </row>
    <row r="27" spans="1:5">
      <c r="A27" s="148" t="s">
        <v>1226</v>
      </c>
      <c r="B27" s="153" t="s">
        <v>602</v>
      </c>
      <c r="C27" s="154"/>
      <c r="D27" s="154"/>
      <c r="E27" s="148" t="s">
        <v>689</v>
      </c>
    </row>
    <row r="28" spans="1:5">
      <c r="A28" s="148" t="s">
        <v>1227</v>
      </c>
      <c r="B28" s="153" t="s">
        <v>605</v>
      </c>
      <c r="C28" s="154"/>
      <c r="D28" s="154"/>
      <c r="E28" s="148" t="s">
        <v>1228</v>
      </c>
    </row>
    <row r="29" spans="1:5">
      <c r="A29" s="154" t="s">
        <v>1229</v>
      </c>
      <c r="B29" s="156" t="s">
        <v>614</v>
      </c>
      <c r="C29" s="154"/>
      <c r="D29" s="154"/>
      <c r="E29" s="154" t="s">
        <v>277</v>
      </c>
    </row>
    <row r="30" spans="1:5">
      <c r="A30" s="154" t="s">
        <v>1230</v>
      </c>
      <c r="B30" s="156" t="s">
        <v>694</v>
      </c>
      <c r="C30" s="154"/>
      <c r="D30" s="154"/>
      <c r="E30" s="154" t="s">
        <v>279</v>
      </c>
    </row>
    <row r="31" spans="1:5">
      <c r="A31" s="150" t="s">
        <v>1231</v>
      </c>
      <c r="B31" s="149" t="s">
        <v>617</v>
      </c>
      <c r="C31" s="63"/>
      <c r="D31" s="63"/>
      <c r="E31" s="150" t="s">
        <v>1232</v>
      </c>
    </row>
  </sheetData>
  <conditionalFormatting sqref="C10:E10">
    <cfRule type="expression" dxfId="11" priority="8">
      <formula>SUM(#REF!,#REF!)&lt;&gt;0</formula>
    </cfRule>
    <cfRule type="expression" dxfId="10" priority="9">
      <formula>SUM(#REF!,#REF!)&lt;&gt;0</formula>
    </cfRule>
  </conditionalFormatting>
  <conditionalFormatting sqref="C17:E17">
    <cfRule type="expression" dxfId="9" priority="10">
      <formula>SUM(#REF!,#REF!)&lt;&gt;0</formula>
    </cfRule>
  </conditionalFormatting>
  <conditionalFormatting sqref="C24:E24">
    <cfRule type="expression" dxfId="8" priority="11">
      <formula>SUM(#REF!,#REF!)&lt;&gt;0</formula>
    </cfRule>
  </conditionalFormatting>
  <conditionalFormatting sqref="C25:E25">
    <cfRule type="expression" dxfId="7" priority="12">
      <formula>SUM(#REF!,#REF!)&lt;&gt;0</formula>
    </cfRule>
  </conditionalFormatting>
  <conditionalFormatting sqref="C31:E31">
    <cfRule type="expression" dxfId="6" priority="7">
      <formula>SUM(#REF!,#REF!)&lt;&gt;0</formula>
    </cfRule>
  </conditionalFormatting>
  <conditionalFormatting sqref="A31:B31">
    <cfRule type="expression" dxfId="5" priority="1">
      <formula>SUM(#REF!,#REF!)&lt;&gt;0</formula>
    </cfRule>
  </conditionalFormatting>
  <conditionalFormatting sqref="A10:B10">
    <cfRule type="expression" dxfId="4" priority="2">
      <formula>SUM(#REF!,#REF!)&lt;&gt;0</formula>
    </cfRule>
    <cfRule type="expression" dxfId="3" priority="3">
      <formula>SUM(#REF!,#REF!)&lt;&gt;0</formula>
    </cfRule>
  </conditionalFormatting>
  <conditionalFormatting sqref="A17:B17">
    <cfRule type="expression" dxfId="2" priority="4">
      <formula>SUM(#REF!,#REF!)&lt;&gt;0</formula>
    </cfRule>
  </conditionalFormatting>
  <conditionalFormatting sqref="A24:B24">
    <cfRule type="expression" dxfId="1" priority="5">
      <formula>SUM(#REF!,#REF!)&lt;&gt;0</formula>
    </cfRule>
  </conditionalFormatting>
  <conditionalFormatting sqref="A25:B25">
    <cfRule type="expression" dxfId="0" priority="6">
      <formula>SUM(#REF!,#REF!)&lt;&gt;0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��  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E0B02D64F62754D94732F9BD05897C3" ma:contentTypeVersion="15" ma:contentTypeDescription="Tạo tài liệu mới." ma:contentTypeScope="" ma:versionID="eeb910481d4a4b7a47ff70faa6b07e65">
  <xsd:schema xmlns:xsd="http://www.w3.org/2001/XMLSchema" xmlns:xs="http://www.w3.org/2001/XMLSchema" xmlns:p="http://schemas.microsoft.com/office/2006/metadata/properties" xmlns:ns2="ad6241b8-59bf-4b2c-ac88-84fded97d3bd" xmlns:ns3="00cbda5c-9bb6-459c-8f16-4230963a79a7" targetNamespace="http://schemas.microsoft.com/office/2006/metadata/properties" ma:root="true" ma:fieldsID="86e7bf41f4866008aa6f1dc43ccf9375" ns2:_="" ns3:_="">
    <xsd:import namespace="ad6241b8-59bf-4b2c-ac88-84fded97d3bd"/>
    <xsd:import namespace="00cbda5c-9bb6-459c-8f16-4230963a79a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241b8-59bf-4b2c-ac88-84fded97d3b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bda5c-9bb6-459c-8f16-4230963a7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hẻ Hình ảnh" ma:readOnly="false" ma:fieldId="{5cf76f15-5ced-4ddc-b409-7134ff3c332f}" ma:taxonomyMulti="true" ma:sspId="bfb56ca8-6d61-4dff-bf92-683ed3f54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cbda5c-9bb6-459c-8f16-4230963a79a7">
      <Terms xmlns="http://schemas.microsoft.com/office/infopath/2007/PartnerControls"/>
    </lcf76f155ced4ddcb4097134ff3c332f>
  </documentManagement>
</p:properties>
</file>

<file path=customXml/item5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B0FF0F0F-0968-4942-92A8-52148423677A}"/>
</file>

<file path=customXml/itemProps2.xml><?xml version="1.0" encoding="utf-8"?>
<ds:datastoreItem xmlns:ds="http://schemas.openxmlformats.org/officeDocument/2006/customXml" ds:itemID="{9C57E16A-BDE9-4D0B-BDAF-0499037D7588}"/>
</file>

<file path=customXml/itemProps3.xml><?xml version="1.0" encoding="utf-8"?>
<ds:datastoreItem xmlns:ds="http://schemas.openxmlformats.org/officeDocument/2006/customXml" ds:itemID="{C39DF90D-7DF7-4F64-B8C7-BFB2CAA26A48}"/>
</file>

<file path=customXml/itemProps4.xml><?xml version="1.0" encoding="utf-8"?>
<ds:datastoreItem xmlns:ds="http://schemas.openxmlformats.org/officeDocument/2006/customXml" ds:itemID="{54968AC5-85B0-41B0-A594-96ABB55A087F}"/>
</file>

<file path=customXml/itemProps5.xml><?xml version="1.0" encoding="utf-8"?>
<ds:datastoreItem xmlns:ds="http://schemas.openxmlformats.org/officeDocument/2006/customXml" ds:itemID="{653E9CA2-FDD0-4DEB-9BC0-68B1899BB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EXIMBANK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Chi Phạm (BIA)</cp:lastModifiedBy>
  <cp:revision/>
  <dcterms:created xsi:type="dcterms:W3CDTF">2018-05-17T14:21:59Z</dcterms:created>
  <dcterms:modified xsi:type="dcterms:W3CDTF">2026-07-16T02:57:11Z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0x0101005E0B02D64F62754D94732F9BD05897C3</vt:lpwstr>
  </property>
  <property fmtid="{D5CDD505-2E9C-101B-9397-08002B2CF9AE}" pid="3" name="MediaServiceImageTags">
    <vt:lpwstr/>
  </property>
</Properties>
</file>