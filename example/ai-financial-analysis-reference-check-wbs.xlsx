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2" activeTab="2" autoFilterDateGrouping="1"/>
  </bookViews>
  <sheets>
    <sheet xmlns:r="http://schemas.openxmlformats.org/officeDocument/2006/relationships" name="1. Effort" sheetId="1" state="visible" r:id="rId1"/>
    <sheet xmlns:r="http://schemas.openxmlformats.org/officeDocument/2006/relationships" name="2. WBS" sheetId="2" state="visible" r:id="rId2"/>
    <sheet xmlns:r="http://schemas.openxmlformats.org/officeDocument/2006/relationships" name="3. Delivery Plan" sheetId="3" state="visible" r:id="rId3"/>
    <sheet xmlns:r="http://schemas.openxmlformats.org/officeDocument/2006/relationships" name="4. Master Data" sheetId="4" state="visible" r:id="rId4"/>
  </sheets>
  <definedNames>
    <definedName name="_xlnm.Print_Area" localSheetId="1">'2. WBS'!$B$3:$L$76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"/>
    <numFmt numFmtId="165" formatCode="_(* #,##0_);_(* \(#,##0\);_(* &quot;-&quot;??_);_(@_)"/>
    <numFmt numFmtId="166" formatCode="_-* #,##0.0\ _₫_-;\-* #,##0.0\ _₫_-;_-* &quot;-&quot;?\ _₫_-;_-@_-"/>
    <numFmt numFmtId="167" formatCode="_(* #,##0.0_);_(* \(#,##0.0\);_(* &quot;-&quot;_);_(@_)"/>
    <numFmt numFmtId="168" formatCode="_(* #,##0.00_);_(* \(#,##0.00\);_(* &quot;-&quot;_);_(@_)"/>
    <numFmt numFmtId="169" formatCode="_(* #,##0.0_);_(* \(#,##0.0\);_(* &quot;-&quot;?_);_(@_)"/>
  </numFmts>
  <fonts count="4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4"/>
    </font>
    <font>
      <name val="Calibri"/>
      <family val="2"/>
      <b val="1"/>
      <color theme="1"/>
      <sz val="20"/>
    </font>
    <font>
      <name val="Calibri"/>
      <family val="2"/>
      <sz val="8"/>
      <scheme val="minor"/>
    </font>
    <font>
      <name val="Calibri"/>
      <family val="2"/>
      <color theme="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b val="1"/>
      <color theme="2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Calibri"/>
      <family val="2"/>
      <color theme="1"/>
      <sz val="10"/>
    </font>
    <font>
      <name val="Arial"/>
      <family val="2"/>
      <color rgb="FFFF0000"/>
      <sz val="11"/>
    </font>
    <font>
      <name val="Calibri"/>
      <family val="2"/>
      <b val="1"/>
      <color theme="1"/>
      <sz val="20"/>
      <u val="single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9"/>
    </font>
    <font>
      <name val="Calibri"/>
      <family val="2"/>
      <b val="1"/>
      <color rgb="FFFF0000"/>
      <sz val="11"/>
    </font>
    <font>
      <name val="Calibri"/>
      <family val="2"/>
      <b val="1"/>
      <color rgb="FF00B050"/>
      <sz val="14"/>
      <scheme val="minor"/>
    </font>
    <font>
      <name val="Arial"/>
      <family val="2"/>
      <b val="1"/>
      <color theme="1"/>
      <sz val="20"/>
    </font>
    <font>
      <name val="Arial"/>
      <family val="2"/>
      <b val="1"/>
      <color rgb="FFFF0000"/>
      <sz val="20"/>
    </font>
    <font>
      <name val="Arial"/>
      <family val="2"/>
      <b val="1"/>
      <color theme="0"/>
      <sz val="11"/>
    </font>
    <font>
      <name val="Arial"/>
      <family val="2"/>
      <color rgb="FFFF0000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3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scheme val="minor"/>
    </font>
    <font>
      <name val="Calibri (Body)"/>
      <color rgb="FFFF0000"/>
      <sz val="11"/>
    </font>
    <font>
      <name val="Calibri"/>
      <family val="2"/>
      <b val="1"/>
      <color theme="1"/>
      <sz val="13"/>
    </font>
    <font>
      <name val="Calibri"/>
      <sz val="8"/>
      <scheme val="minor"/>
    </font>
    <font>
      <b val="1"/>
      <sz val="14"/>
    </font>
    <font>
      <b val="1"/>
    </font>
    <font>
      <b val="1"/>
      <color rgb="FFFFFFFF"/>
    </font>
  </fonts>
  <fills count="43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94AA"/>
        <bgColor theme="0"/>
      </patternFill>
    </fill>
    <fill>
      <patternFill patternType="solid">
        <fgColor theme="7" tint="0.3999755851924192"/>
        <bgColor rgb="FFBDD6EE"/>
      </patternFill>
    </fill>
    <fill>
      <patternFill patternType="solid">
        <fgColor rgb="FFAB81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0094AA"/>
      </patternFill>
    </fill>
    <fill>
      <patternFill patternType="solid">
        <fgColor rgb="FF4DB6AC"/>
      </patternFill>
    </fill>
  </fills>
  <borders count="16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19"/>
    <xf numFmtId="41" fontId="12" fillId="0" borderId="19"/>
    <xf numFmtId="0" fontId="12" fillId="0" borderId="19"/>
  </cellStyleXfs>
  <cellXfs count="72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164" fontId="3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41" fontId="3" fillId="0" borderId="10" applyAlignment="1" pivotButton="0" quotePrefix="0" xfId="0">
      <alignment vertical="center" wrapText="1"/>
    </xf>
    <xf numFmtId="0" fontId="3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164" fontId="3" fillId="0" borderId="14" applyAlignment="1" pivotButton="0" quotePrefix="0" xfId="0">
      <alignment vertical="center" wrapText="1"/>
    </xf>
    <xf numFmtId="164" fontId="5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4" applyAlignment="1" pivotButton="0" quotePrefix="0" xfId="0">
      <alignment vertical="center" wrapText="1"/>
    </xf>
    <xf numFmtId="164" fontId="4" fillId="0" borderId="14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43" fontId="3" fillId="0" borderId="0" pivotButton="0" quotePrefix="0" xfId="0"/>
    <xf numFmtId="41" fontId="3" fillId="0" borderId="0" pivotButton="0" quotePrefix="0" xfId="0"/>
    <xf numFmtId="164" fontId="7" fillId="2" borderId="19" pivotButton="0" quotePrefix="0" xfId="0"/>
    <xf numFmtId="9" fontId="3" fillId="0" borderId="0" pivotButton="0" quotePrefix="0" xfId="0"/>
    <xf numFmtId="165" fontId="4" fillId="0" borderId="0" pivotButton="0" quotePrefix="0" xfId="0"/>
    <xf numFmtId="0" fontId="3" fillId="3" borderId="19" applyAlignment="1" pivotButton="0" quotePrefix="0" xfId="0">
      <alignment vertical="center"/>
    </xf>
    <xf numFmtId="0" fontId="3" fillId="3" borderId="19" applyAlignment="1" pivotButton="0" quotePrefix="0" xfId="0">
      <alignment horizontal="left" vertical="center"/>
    </xf>
    <xf numFmtId="0" fontId="3" fillId="3" borderId="19" applyAlignment="1" pivotButton="0" quotePrefix="0" xfId="0">
      <alignment vertical="center" wrapText="1"/>
    </xf>
    <xf numFmtId="41" fontId="3" fillId="3" borderId="19" applyAlignment="1" pivotButton="0" quotePrefix="0" xfId="0">
      <alignment vertical="center" wrapText="1"/>
    </xf>
    <xf numFmtId="0" fontId="3" fillId="3" borderId="19" applyAlignment="1" pivotButton="0" quotePrefix="0" xfId="0">
      <alignment horizontal="left" vertical="center" wrapText="1"/>
    </xf>
    <xf numFmtId="41" fontId="3" fillId="3" borderId="19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3" fillId="0" borderId="19" applyAlignment="1" pivotButton="0" quotePrefix="0" xfId="0">
      <alignment wrapText="1"/>
    </xf>
    <xf numFmtId="0" fontId="4" fillId="0" borderId="19" pivotButton="0" quotePrefix="0" xfId="0"/>
    <xf numFmtId="0" fontId="3" fillId="0" borderId="19" applyAlignment="1" pivotButton="0" quotePrefix="0" xfId="0">
      <alignment vertical="center" wrapText="1"/>
    </xf>
    <xf numFmtId="0" fontId="3" fillId="0" borderId="19" applyAlignment="1" pivotButton="0" quotePrefix="0" xfId="0">
      <alignment vertical="center"/>
    </xf>
    <xf numFmtId="43" fontId="3" fillId="0" borderId="19" applyAlignment="1" pivotButton="0" quotePrefix="0" xfId="0">
      <alignment vertical="center" wrapText="1"/>
    </xf>
    <xf numFmtId="0" fontId="10" fillId="0" borderId="0" pivotButton="0" quotePrefix="0" xfId="0"/>
    <xf numFmtId="0" fontId="3" fillId="6" borderId="19" applyAlignment="1" pivotButton="0" quotePrefix="0" xfId="0">
      <alignment vertical="center"/>
    </xf>
    <xf numFmtId="0" fontId="0" fillId="6" borderId="0" pivotButton="0" quotePrefix="0" xfId="0"/>
    <xf numFmtId="0" fontId="4" fillId="0" borderId="22" applyAlignment="1" pivotButton="0" quotePrefix="0" xfId="0">
      <alignment vertical="center"/>
    </xf>
    <xf numFmtId="0" fontId="4" fillId="0" borderId="22" applyAlignment="1" pivotButton="0" quotePrefix="0" xfId="0">
      <alignment vertical="center" wrapText="1"/>
    </xf>
    <xf numFmtId="0" fontId="3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164" fontId="3" fillId="0" borderId="22" applyAlignment="1" pivotButton="0" quotePrefix="0" xfId="0">
      <alignment vertical="center" wrapText="1"/>
    </xf>
    <xf numFmtId="41" fontId="3" fillId="0" borderId="22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0" fontId="13" fillId="0" borderId="0" pivotButton="0" quotePrefix="0" xfId="0"/>
    <xf numFmtId="0" fontId="4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166" fontId="3" fillId="0" borderId="0" pivotButton="0" quotePrefix="0" xfId="0"/>
    <xf numFmtId="41" fontId="3" fillId="0" borderId="22" applyAlignment="1" pivotButton="0" quotePrefix="0" xfId="1">
      <alignment vertical="center" wrapText="1"/>
    </xf>
    <xf numFmtId="167" fontId="3" fillId="3" borderId="19" applyAlignment="1" pivotButton="0" quotePrefix="0" xfId="0">
      <alignment horizontal="left" vertical="center" wrapText="1"/>
    </xf>
    <xf numFmtId="167" fontId="3" fillId="3" borderId="19" applyAlignment="1" pivotButton="0" quotePrefix="0" xfId="0">
      <alignment vertical="center" wrapText="1"/>
    </xf>
    <xf numFmtId="167" fontId="0" fillId="0" borderId="0" pivotButton="0" quotePrefix="0" xfId="0"/>
    <xf numFmtId="0" fontId="0" fillId="0" borderId="19" pivotButton="0" quotePrefix="0" xfId="0"/>
    <xf numFmtId="0" fontId="4" fillId="0" borderId="19" applyAlignment="1" pivotButton="0" quotePrefix="0" xfId="0">
      <alignment vertical="center"/>
    </xf>
    <xf numFmtId="0" fontId="4" fillId="0" borderId="19" applyAlignment="1" pivotButton="0" quotePrefix="0" xfId="0">
      <alignment vertical="center" wrapText="1"/>
    </xf>
    <xf numFmtId="164" fontId="3" fillId="0" borderId="19" applyAlignment="1" pivotButton="0" quotePrefix="0" xfId="0">
      <alignment vertical="center" wrapText="1"/>
    </xf>
    <xf numFmtId="41" fontId="3" fillId="0" borderId="19" applyAlignment="1" pivotButton="0" quotePrefix="0" xfId="0">
      <alignment vertical="center" wrapText="1"/>
    </xf>
    <xf numFmtId="0" fontId="5" fillId="0" borderId="19" applyAlignment="1" pivotButton="0" quotePrefix="0" xfId="0">
      <alignment vertical="center" wrapText="1"/>
    </xf>
    <xf numFmtId="41" fontId="4" fillId="0" borderId="22" applyAlignment="1" pivotButton="0" quotePrefix="0" xfId="1">
      <alignment vertical="center" wrapText="1"/>
    </xf>
    <xf numFmtId="0" fontId="3" fillId="0" borderId="19" pivotButton="0" quotePrefix="0" xfId="0"/>
    <xf numFmtId="166" fontId="3" fillId="0" borderId="19" pivotButton="0" quotePrefix="0" xfId="0"/>
    <xf numFmtId="0" fontId="4" fillId="0" borderId="10" applyAlignment="1" pivotButton="0" quotePrefix="0" xfId="0">
      <alignment horizontal="center" vertical="center" wrapText="1"/>
    </xf>
    <xf numFmtId="167" fontId="3" fillId="0" borderId="10" applyAlignment="1" pivotButton="0" quotePrefix="0" xfId="1">
      <alignment vertical="center" wrapText="1"/>
    </xf>
    <xf numFmtId="0" fontId="3" fillId="11" borderId="19" applyAlignment="1" pivotButton="0" quotePrefix="0" xfId="0">
      <alignment vertical="center"/>
    </xf>
    <xf numFmtId="0" fontId="0" fillId="11" borderId="0" pivotButton="0" quotePrefix="0" xfId="0"/>
    <xf numFmtId="0" fontId="3" fillId="11" borderId="10" applyAlignment="1" pivotButton="0" quotePrefix="0" xfId="0">
      <alignment horizontal="left" vertical="center"/>
    </xf>
    <xf numFmtId="0" fontId="3" fillId="11" borderId="10" applyAlignment="1" pivotButton="0" quotePrefix="0" xfId="0">
      <alignment vertical="center" wrapText="1"/>
    </xf>
    <xf numFmtId="0" fontId="3" fillId="11" borderId="19" applyAlignment="1" pivotButton="0" quotePrefix="0" xfId="0">
      <alignment horizontal="left" vertical="center"/>
    </xf>
    <xf numFmtId="0" fontId="3" fillId="11" borderId="19" applyAlignment="1" pivotButton="0" quotePrefix="0" xfId="0">
      <alignment vertical="center" wrapText="1"/>
    </xf>
    <xf numFmtId="0" fontId="3" fillId="11" borderId="20" applyAlignment="1" pivotButton="0" quotePrefix="0" xfId="0">
      <alignment vertical="center" wrapText="1"/>
    </xf>
    <xf numFmtId="166" fontId="8" fillId="3" borderId="19" applyAlignment="1" pivotButton="0" quotePrefix="0" xfId="0">
      <alignment vertical="center"/>
    </xf>
    <xf numFmtId="0" fontId="3" fillId="11" borderId="11" applyAlignment="1" pivotButton="0" quotePrefix="0" xfId="0">
      <alignment horizontal="left" vertical="center"/>
    </xf>
    <xf numFmtId="0" fontId="8" fillId="3" borderId="19" applyAlignment="1" pivotButton="0" quotePrefix="0" xfId="0">
      <alignment vertical="center"/>
    </xf>
    <xf numFmtId="0" fontId="14" fillId="8" borderId="10" applyAlignment="1" pivotButton="0" quotePrefix="0" xfId="0">
      <alignment vertical="center"/>
    </xf>
    <xf numFmtId="0" fontId="14" fillId="8" borderId="10" applyAlignment="1" pivotButton="0" quotePrefix="0" xfId="0">
      <alignment horizontal="left" vertical="center"/>
    </xf>
    <xf numFmtId="0" fontId="14" fillId="8" borderId="10" applyAlignment="1" pivotButton="0" quotePrefix="0" xfId="0">
      <alignment vertical="center" wrapText="1"/>
    </xf>
    <xf numFmtId="41" fontId="14" fillId="8" borderId="10" applyAlignment="1" pivotButton="0" quotePrefix="0" xfId="0">
      <alignment vertical="center" wrapText="1"/>
    </xf>
    <xf numFmtId="167" fontId="14" fillId="8" borderId="10" applyAlignment="1" pivotButton="0" quotePrefix="0" xfId="0">
      <alignment vertical="center" wrapText="1"/>
    </xf>
    <xf numFmtId="0" fontId="15" fillId="4" borderId="10" applyAlignment="1" pivotButton="0" quotePrefix="0" xfId="0">
      <alignment vertical="center"/>
    </xf>
    <xf numFmtId="0" fontId="15" fillId="4" borderId="10" applyAlignment="1" pivotButton="0" quotePrefix="0" xfId="0">
      <alignment horizontal="left" vertical="center"/>
    </xf>
    <xf numFmtId="0" fontId="15" fillId="4" borderId="10" applyAlignment="1" pivotButton="0" quotePrefix="0" xfId="0">
      <alignment vertical="center" wrapText="1"/>
    </xf>
    <xf numFmtId="43" fontId="15" fillId="4" borderId="10" applyAlignment="1" pivotButton="0" quotePrefix="0" xfId="0">
      <alignment vertical="center" wrapText="1"/>
    </xf>
    <xf numFmtId="167" fontId="16" fillId="4" borderId="10" applyAlignment="1" pivotButton="0" quotePrefix="0" xfId="0">
      <alignment vertical="center" wrapText="1"/>
    </xf>
    <xf numFmtId="167" fontId="17" fillId="11" borderId="10" applyAlignment="1" pivotButton="0" quotePrefix="0" xfId="0">
      <alignment vertical="center" wrapText="1"/>
    </xf>
    <xf numFmtId="167" fontId="16" fillId="10" borderId="10" applyAlignment="1" pivotButton="0" quotePrefix="0" xfId="0">
      <alignment vertical="center"/>
    </xf>
    <xf numFmtId="167" fontId="16" fillId="7" borderId="10" applyAlignment="1" pivotButton="0" quotePrefix="0" xfId="0">
      <alignment vertical="center"/>
    </xf>
    <xf numFmtId="0" fontId="17" fillId="3" borderId="10" applyAlignment="1" pivotButton="0" quotePrefix="0" xfId="0">
      <alignment horizontal="left" vertical="center"/>
    </xf>
    <xf numFmtId="0" fontId="17" fillId="3" borderId="10" applyAlignment="1" pivotButton="0" quotePrefix="0" xfId="0">
      <alignment horizontal="left" vertical="center" wrapText="1"/>
    </xf>
    <xf numFmtId="0" fontId="17" fillId="3" borderId="10" applyAlignment="1" pivotButton="0" quotePrefix="0" xfId="0">
      <alignment vertical="center" wrapText="1"/>
    </xf>
    <xf numFmtId="41" fontId="17" fillId="3" borderId="10" applyAlignment="1" pivotButton="0" quotePrefix="0" xfId="0">
      <alignment horizontal="left" vertical="center" wrapText="1"/>
    </xf>
    <xf numFmtId="167" fontId="17" fillId="6" borderId="10" applyAlignment="1" pivotButton="0" quotePrefix="0" xfId="0">
      <alignment vertical="center" wrapText="1"/>
    </xf>
    <xf numFmtId="0" fontId="17" fillId="11" borderId="10" applyAlignment="1" pivotButton="0" quotePrefix="0" xfId="0">
      <alignment horizontal="left" vertical="center" wrapText="1"/>
    </xf>
    <xf numFmtId="0" fontId="17" fillId="11" borderId="10" applyAlignment="1" pivotButton="0" quotePrefix="0" xfId="0">
      <alignment vertical="center" wrapText="1"/>
    </xf>
    <xf numFmtId="167" fontId="17" fillId="11" borderId="10" applyAlignment="1" pivotButton="0" quotePrefix="0" xfId="0">
      <alignment horizontal="left" vertical="center"/>
    </xf>
    <xf numFmtId="0" fontId="17" fillId="11" borderId="10" applyAlignment="1" pivotButton="0" quotePrefix="0" xfId="0">
      <alignment horizontal="left" vertical="center"/>
    </xf>
    <xf numFmtId="0" fontId="17" fillId="6" borderId="10" applyAlignment="1" pivotButton="0" quotePrefix="0" xfId="0">
      <alignment horizontal="left" vertical="center"/>
    </xf>
    <xf numFmtId="0" fontId="17" fillId="6" borderId="10" applyAlignment="1" pivotButton="0" quotePrefix="0" xfId="0">
      <alignment horizontal="left" vertical="center" wrapText="1"/>
    </xf>
    <xf numFmtId="0" fontId="17" fillId="6" borderId="10" applyAlignment="1" pivotButton="0" quotePrefix="0" xfId="0">
      <alignment vertical="center" wrapText="1"/>
    </xf>
    <xf numFmtId="0" fontId="17" fillId="0" borderId="10" applyAlignment="1" pivotButton="0" quotePrefix="0" xfId="0">
      <alignment vertical="center" wrapText="1"/>
    </xf>
    <xf numFmtId="0" fontId="17" fillId="11" borderId="27" applyAlignment="1" pivotButton="0" quotePrefix="0" xfId="0">
      <alignment horizontal="left" vertical="center" wrapText="1"/>
    </xf>
    <xf numFmtId="0" fontId="17" fillId="3" borderId="20" applyAlignment="1" pivotButton="0" quotePrefix="0" xfId="0">
      <alignment horizontal="left" vertical="center"/>
    </xf>
    <xf numFmtId="0" fontId="17" fillId="11" borderId="21" applyAlignment="1" pivotButton="0" quotePrefix="0" xfId="0">
      <alignment horizontal="left" vertical="center"/>
    </xf>
    <xf numFmtId="0" fontId="20" fillId="3" borderId="10" applyAlignment="1" pivotButton="0" quotePrefix="0" xfId="0">
      <alignment vertical="center" wrapText="1"/>
    </xf>
    <xf numFmtId="0" fontId="20" fillId="11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43" fontId="0" fillId="0" borderId="19" pivotButton="0" quotePrefix="0" xfId="0"/>
    <xf numFmtId="0" fontId="17" fillId="11" borderId="21" applyAlignment="1" pivotButton="0" quotePrefix="0" xfId="0">
      <alignment vertical="center" wrapText="1"/>
    </xf>
    <xf numFmtId="0" fontId="17" fillId="11" borderId="21" applyAlignment="1" pivotButton="0" quotePrefix="0" xfId="0">
      <alignment horizontal="left" vertical="center" wrapText="1"/>
    </xf>
    <xf numFmtId="167" fontId="16" fillId="7" borderId="6" applyAlignment="1" pivotButton="0" quotePrefix="0" xfId="0">
      <alignment vertical="center"/>
    </xf>
    <xf numFmtId="167" fontId="16" fillId="7" borderId="24" applyAlignment="1" pivotButton="0" quotePrefix="0" xfId="0">
      <alignment vertical="center"/>
    </xf>
    <xf numFmtId="0" fontId="17" fillId="11" borderId="6" applyAlignment="1" pivotButton="0" quotePrefix="0" xfId="0">
      <alignment vertical="center" wrapText="1"/>
    </xf>
    <xf numFmtId="0" fontId="17" fillId="11" borderId="6" applyAlignment="1" pivotButton="0" quotePrefix="0" xfId="0">
      <alignment horizontal="left" vertical="center"/>
    </xf>
    <xf numFmtId="0" fontId="17" fillId="11" borderId="6" applyAlignment="1" pivotButton="0" quotePrefix="0" xfId="0">
      <alignment horizontal="left" vertical="center" wrapText="1"/>
    </xf>
    <xf numFmtId="166" fontId="3" fillId="3" borderId="19" applyAlignment="1" pivotButton="0" quotePrefix="0" xfId="0">
      <alignment vertical="center"/>
    </xf>
    <xf numFmtId="166" fontId="3" fillId="6" borderId="19" applyAlignment="1" pivotButton="0" quotePrefix="0" xfId="0">
      <alignment vertical="center"/>
    </xf>
    <xf numFmtId="43" fontId="3" fillId="3" borderId="19" applyAlignment="1" pivotButton="0" quotePrefix="0" xfId="0">
      <alignment vertical="center"/>
    </xf>
    <xf numFmtId="167" fontId="4" fillId="0" borderId="10" applyAlignment="1" pivotButton="0" quotePrefix="0" xfId="1">
      <alignment vertical="center" wrapText="1"/>
    </xf>
    <xf numFmtId="0" fontId="17" fillId="6" borderId="20" applyAlignment="1" pivotButton="0" quotePrefix="0" xfId="0">
      <alignment horizontal="left" vertical="center"/>
    </xf>
    <xf numFmtId="167" fontId="17" fillId="11" borderId="22" applyAlignment="1" pivotButton="0" quotePrefix="0" xfId="0">
      <alignment vertical="center" wrapText="1"/>
    </xf>
    <xf numFmtId="43" fontId="11" fillId="0" borderId="19" pivotButton="0" quotePrefix="0" xfId="0"/>
    <xf numFmtId="0" fontId="20" fillId="0" borderId="10" pivotButton="0" quotePrefix="0" xfId="0"/>
    <xf numFmtId="0" fontId="17" fillId="3" borderId="22" applyAlignment="1" pivotButton="0" quotePrefix="0" xfId="0">
      <alignment horizontal="left" vertical="center"/>
    </xf>
    <xf numFmtId="167" fontId="17" fillId="6" borderId="22" applyAlignment="1" pivotButton="0" quotePrefix="0" xfId="0">
      <alignment vertical="center" wrapText="1"/>
    </xf>
    <xf numFmtId="0" fontId="17" fillId="3" borderId="22" applyAlignment="1" pivotButton="0" quotePrefix="0" xfId="0">
      <alignment horizontal="left" vertical="center" wrapText="1"/>
    </xf>
    <xf numFmtId="49" fontId="17" fillId="11" borderId="22" applyAlignment="1" pivotButton="0" quotePrefix="1" xfId="0">
      <alignment horizontal="left" vertical="top" wrapText="1"/>
    </xf>
    <xf numFmtId="0" fontId="14" fillId="8" borderId="22" applyAlignment="1" pivotButton="0" quotePrefix="0" xfId="0">
      <alignment vertical="center"/>
    </xf>
    <xf numFmtId="0" fontId="14" fillId="8" borderId="22" applyAlignment="1" pivotButton="0" quotePrefix="0" xfId="0">
      <alignment horizontal="left" vertical="center"/>
    </xf>
    <xf numFmtId="0" fontId="14" fillId="8" borderId="22" applyAlignment="1" pivotButton="0" quotePrefix="0" xfId="0">
      <alignment vertical="center" wrapText="1"/>
    </xf>
    <xf numFmtId="41" fontId="14" fillId="8" borderId="22" applyAlignment="1" pivotButton="0" quotePrefix="0" xfId="0">
      <alignment vertical="center" wrapText="1"/>
    </xf>
    <xf numFmtId="0" fontId="15" fillId="4" borderId="22" applyAlignment="1" pivotButton="0" quotePrefix="0" xfId="0">
      <alignment vertical="center"/>
    </xf>
    <xf numFmtId="0" fontId="15" fillId="4" borderId="22" applyAlignment="1" pivotButton="0" quotePrefix="0" xfId="0">
      <alignment horizontal="left" vertical="center"/>
    </xf>
    <xf numFmtId="0" fontId="15" fillId="4" borderId="22" applyAlignment="1" pivotButton="0" quotePrefix="0" xfId="0">
      <alignment vertical="center" wrapText="1"/>
    </xf>
    <xf numFmtId="167" fontId="16" fillId="4" borderId="22" applyAlignment="1" pivotButton="0" quotePrefix="0" xfId="0">
      <alignment vertical="center" wrapText="1"/>
    </xf>
    <xf numFmtId="0" fontId="3" fillId="13" borderId="19" applyAlignment="1" pivotButton="0" quotePrefix="0" xfId="2">
      <alignment vertical="center"/>
    </xf>
    <xf numFmtId="0" fontId="23" fillId="13" borderId="19" applyAlignment="1" pivotButton="0" quotePrefix="0" xfId="2">
      <alignment vertical="center"/>
    </xf>
    <xf numFmtId="0" fontId="4" fillId="13" borderId="19" applyAlignment="1" pivotButton="0" quotePrefix="0" xfId="2">
      <alignment vertical="top"/>
    </xf>
    <xf numFmtId="0" fontId="4" fillId="13" borderId="19" applyAlignment="1" pivotButton="0" quotePrefix="0" xfId="2">
      <alignment vertical="center"/>
    </xf>
    <xf numFmtId="0" fontId="2" fillId="11" borderId="19" applyAlignment="1" pivotButton="0" quotePrefix="0" xfId="2">
      <alignment vertical="center"/>
    </xf>
    <xf numFmtId="0" fontId="2" fillId="0" borderId="34" applyAlignment="1" pivotButton="0" quotePrefix="0" xfId="2">
      <alignment vertical="center"/>
    </xf>
    <xf numFmtId="0" fontId="2" fillId="0" borderId="19" applyAlignment="1" pivotButton="0" quotePrefix="0" xfId="2">
      <alignment vertical="center"/>
    </xf>
    <xf numFmtId="0" fontId="3" fillId="11" borderId="19" applyAlignment="1" pivotButton="0" quotePrefix="0" xfId="2">
      <alignment vertical="center"/>
    </xf>
    <xf numFmtId="0" fontId="3" fillId="0" borderId="34" applyAlignment="1" pivotButton="0" quotePrefix="0" xfId="2">
      <alignment vertical="center"/>
    </xf>
    <xf numFmtId="0" fontId="3" fillId="0" borderId="19" applyAlignment="1" pivotButton="0" quotePrefix="0" xfId="2">
      <alignment vertical="center"/>
    </xf>
    <xf numFmtId="0" fontId="21" fillId="0" borderId="6" applyAlignment="1" pivotButton="0" quotePrefix="0" xfId="2">
      <alignment horizontal="center" vertical="center" wrapText="1"/>
    </xf>
    <xf numFmtId="0" fontId="3" fillId="0" borderId="10" applyAlignment="1" pivotButton="0" quotePrefix="0" xfId="2">
      <alignment horizontal="center" vertical="center" wrapText="1"/>
    </xf>
    <xf numFmtId="9" fontId="27" fillId="11" borderId="19" applyAlignment="1" pivotButton="0" quotePrefix="0" xfId="2">
      <alignment horizontal="right" vertical="center"/>
    </xf>
    <xf numFmtId="0" fontId="3" fillId="13" borderId="34" applyAlignment="1" pivotButton="0" quotePrefix="0" xfId="2">
      <alignment vertical="center"/>
    </xf>
    <xf numFmtId="0" fontId="2" fillId="11" borderId="34" applyAlignment="1" pivotButton="0" quotePrefix="0" xfId="2">
      <alignment vertical="center"/>
    </xf>
    <xf numFmtId="0" fontId="2" fillId="11" borderId="40" applyAlignment="1" pivotButton="0" quotePrefix="0" xfId="2">
      <alignment vertical="center"/>
    </xf>
    <xf numFmtId="0" fontId="2" fillId="11" borderId="41" applyAlignment="1" pivotButton="0" quotePrefix="0" xfId="2">
      <alignment vertical="center"/>
    </xf>
    <xf numFmtId="0" fontId="2" fillId="0" borderId="41" applyAlignment="1" pivotButton="0" quotePrefix="0" xfId="2">
      <alignment vertical="center"/>
    </xf>
    <xf numFmtId="0" fontId="2" fillId="0" borderId="42" applyAlignment="1" pivotButton="0" quotePrefix="0" xfId="2">
      <alignment vertical="center"/>
    </xf>
    <xf numFmtId="0" fontId="2" fillId="11" borderId="43" applyAlignment="1" pivotButton="0" quotePrefix="0" xfId="2">
      <alignment vertical="center"/>
    </xf>
    <xf numFmtId="0" fontId="2" fillId="0" borderId="44" applyAlignment="1" pivotButton="0" quotePrefix="0" xfId="2">
      <alignment vertical="center"/>
    </xf>
    <xf numFmtId="0" fontId="2" fillId="0" borderId="43" applyAlignment="1" pivotButton="0" quotePrefix="0" xfId="2">
      <alignment vertical="center"/>
    </xf>
    <xf numFmtId="0" fontId="2" fillId="0" borderId="40" applyAlignment="1" pivotButton="0" quotePrefix="0" xfId="2">
      <alignment vertical="center"/>
    </xf>
    <xf numFmtId="0" fontId="2" fillId="0" borderId="45" applyAlignment="1" pivotButton="0" quotePrefix="0" xfId="2">
      <alignment vertical="center"/>
    </xf>
    <xf numFmtId="0" fontId="2" fillId="0" borderId="46" applyAlignment="1" pivotButton="0" quotePrefix="0" xfId="2">
      <alignment vertical="center"/>
    </xf>
    <xf numFmtId="0" fontId="2" fillId="0" borderId="47" applyAlignment="1" pivotButton="0" quotePrefix="0" xfId="2">
      <alignment vertical="center"/>
    </xf>
    <xf numFmtId="49" fontId="17" fillId="3" borderId="22" applyAlignment="1" pivotButton="0" quotePrefix="0" xfId="0">
      <alignment vertical="center" wrapText="1"/>
    </xf>
    <xf numFmtId="49" fontId="20" fillId="6" borderId="22" applyAlignment="1" pivotButton="0" quotePrefix="0" xfId="0">
      <alignment vertical="center" wrapText="1"/>
    </xf>
    <xf numFmtId="167" fontId="22" fillId="11" borderId="22" applyAlignment="1" pivotButton="0" quotePrefix="0" xfId="0">
      <alignment vertical="center" wrapText="1"/>
    </xf>
    <xf numFmtId="0" fontId="4" fillId="12" borderId="54" applyAlignment="1" pivotButton="0" quotePrefix="0" xfId="0">
      <alignment horizontal="center" vertical="center" wrapText="1"/>
    </xf>
    <xf numFmtId="0" fontId="4" fillId="7" borderId="61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0" borderId="56" applyAlignment="1" pivotButton="0" quotePrefix="0" xfId="0">
      <alignment horizontal="center" vertical="center"/>
    </xf>
    <xf numFmtId="0" fontId="20" fillId="0" borderId="22" applyAlignment="1" pivotButton="0" quotePrefix="0" xfId="0">
      <alignment vertical="center" wrapText="1"/>
    </xf>
    <xf numFmtId="49" fontId="14" fillId="8" borderId="22" applyAlignment="1" pivotButton="0" quotePrefix="0" xfId="0">
      <alignment vertical="center" wrapText="1"/>
    </xf>
    <xf numFmtId="49" fontId="15" fillId="4" borderId="22" applyAlignment="1" pivotButton="0" quotePrefix="0" xfId="0">
      <alignment vertical="center" wrapText="1"/>
    </xf>
    <xf numFmtId="49" fontId="20" fillId="0" borderId="22" applyAlignment="1" pivotButton="0" quotePrefix="0" xfId="0">
      <alignment wrapText="1"/>
    </xf>
    <xf numFmtId="49" fontId="20" fillId="6" borderId="22" applyAlignment="1" pivotButton="0" quotePrefix="1" xfId="0">
      <alignment vertical="center" wrapText="1"/>
    </xf>
    <xf numFmtId="49" fontId="20" fillId="3" borderId="22" applyAlignment="1" pivotButton="0" quotePrefix="0" xfId="0">
      <alignment vertical="center" wrapText="1"/>
    </xf>
    <xf numFmtId="0" fontId="17" fillId="3" borderId="19" applyAlignment="1" pivotButton="0" quotePrefix="0" xfId="0">
      <alignment horizontal="left" vertical="center"/>
    </xf>
    <xf numFmtId="0" fontId="17" fillId="0" borderId="0" pivotButton="0" quotePrefix="0" xfId="0"/>
    <xf numFmtId="49" fontId="17" fillId="0" borderId="0" pivotButton="0" quotePrefix="0" xfId="0"/>
    <xf numFmtId="0" fontId="15" fillId="17" borderId="54" pivotButton="0" quotePrefix="0" xfId="0"/>
    <xf numFmtId="0" fontId="17" fillId="0" borderId="55" applyAlignment="1" pivotButton="0" quotePrefix="0" xfId="0">
      <alignment vertical="center" wrapText="1"/>
    </xf>
    <xf numFmtId="49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7" fillId="3" borderId="19" applyAlignment="1" pivotButton="0" quotePrefix="0" xfId="0">
      <alignment vertical="center"/>
    </xf>
    <xf numFmtId="0" fontId="28" fillId="3" borderId="19" applyAlignment="1" pivotButton="0" quotePrefix="0" xfId="0">
      <alignment vertical="center"/>
    </xf>
    <xf numFmtId="49" fontId="28" fillId="3" borderId="19" applyAlignment="1" pivotButton="0" quotePrefix="0" xfId="0">
      <alignment vertical="center"/>
    </xf>
    <xf numFmtId="166" fontId="28" fillId="3" borderId="19" applyAlignment="1" pivotButton="0" quotePrefix="0" xfId="0">
      <alignment vertical="center"/>
    </xf>
    <xf numFmtId="0" fontId="17" fillId="11" borderId="0" pivotButton="0" quotePrefix="0" xfId="0"/>
    <xf numFmtId="0" fontId="17" fillId="3" borderId="19" applyAlignment="1" pivotButton="0" quotePrefix="0" xfId="0">
      <alignment vertical="center" wrapText="1"/>
    </xf>
    <xf numFmtId="49" fontId="17" fillId="3" borderId="19" applyAlignment="1" pivotButton="0" quotePrefix="0" xfId="0">
      <alignment vertical="center" wrapText="1"/>
    </xf>
    <xf numFmtId="41" fontId="17" fillId="3" borderId="19" applyAlignment="1" pivotButton="0" quotePrefix="0" xfId="0">
      <alignment vertical="center" wrapText="1"/>
    </xf>
    <xf numFmtId="167" fontId="16" fillId="19" borderId="22" applyAlignment="1" pivotButton="0" quotePrefix="0" xfId="0">
      <alignment vertical="center"/>
    </xf>
    <xf numFmtId="167" fontId="16" fillId="19" borderId="21" applyAlignment="1" pivotButton="0" quotePrefix="0" xfId="0">
      <alignment vertical="center"/>
    </xf>
    <xf numFmtId="168" fontId="17" fillId="0" borderId="0" pivotButton="0" quotePrefix="0" xfId="0"/>
    <xf numFmtId="168" fontId="17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 wrapText="1"/>
    </xf>
    <xf numFmtId="168" fontId="28" fillId="3" borderId="19" applyAlignment="1" pivotButton="0" quotePrefix="0" xfId="0">
      <alignment vertical="center"/>
    </xf>
    <xf numFmtId="168" fontId="17" fillId="3" borderId="19" applyAlignment="1" pivotButton="0" quotePrefix="0" xfId="0">
      <alignment vertical="center" wrapText="1"/>
    </xf>
    <xf numFmtId="0" fontId="13" fillId="11" borderId="19" pivotButton="0" quotePrefix="0" xfId="0"/>
    <xf numFmtId="0" fontId="0" fillId="11" borderId="19" pivotButton="0" quotePrefix="0" xfId="0"/>
    <xf numFmtId="0" fontId="3" fillId="11" borderId="19" pivotButton="0" quotePrefix="0" xfId="0"/>
    <xf numFmtId="0" fontId="3" fillId="11" borderId="0" pivotButton="0" quotePrefix="0" xfId="0"/>
    <xf numFmtId="166" fontId="3" fillId="11" borderId="19" pivotButton="0" quotePrefix="0" xfId="0"/>
    <xf numFmtId="167" fontId="17" fillId="11" borderId="24" applyAlignment="1" pivotButton="0" quotePrefix="0" xfId="0">
      <alignment vertical="center" wrapText="1"/>
    </xf>
    <xf numFmtId="168" fontId="14" fillId="8" borderId="22" applyAlignment="1" pivotButton="0" quotePrefix="0" xfId="0">
      <alignment horizontal="center" vertical="center" wrapText="1"/>
    </xf>
    <xf numFmtId="41" fontId="14" fillId="8" borderId="22" applyAlignment="1" pivotButton="0" quotePrefix="0" xfId="0">
      <alignment horizontal="center" vertical="center" wrapText="1"/>
    </xf>
    <xf numFmtId="167" fontId="16" fillId="21" borderId="21" applyAlignment="1" pivotButton="0" quotePrefix="0" xfId="0">
      <alignment vertical="center"/>
    </xf>
    <xf numFmtId="167" fontId="16" fillId="23" borderId="22" applyAlignment="1" pivotButton="0" quotePrefix="0" xfId="0">
      <alignment vertical="center"/>
    </xf>
    <xf numFmtId="167" fontId="16" fillId="24" borderId="22" applyAlignment="1" pivotButton="0" quotePrefix="0" xfId="0">
      <alignment vertical="center"/>
    </xf>
    <xf numFmtId="0" fontId="22" fillId="3" borderId="19" applyAlignment="1" pivotButton="0" quotePrefix="0" xfId="0">
      <alignment vertical="center"/>
    </xf>
    <xf numFmtId="0" fontId="4" fillId="13" borderId="67" applyAlignment="1" pivotButton="0" quotePrefix="0" xfId="2">
      <alignment horizontal="center" vertical="center"/>
    </xf>
    <xf numFmtId="0" fontId="32" fillId="11" borderId="19" applyAlignment="1" pivotButton="0" quotePrefix="0" xfId="2">
      <alignment vertical="center"/>
    </xf>
    <xf numFmtId="49" fontId="20" fillId="0" borderId="22" applyAlignment="1" pivotButton="0" quotePrefix="1" xfId="0">
      <alignment wrapText="1"/>
    </xf>
    <xf numFmtId="167" fontId="17" fillId="0" borderId="22" applyAlignment="1" pivotButton="0" quotePrefix="0" xfId="0">
      <alignment vertical="center" wrapText="1"/>
    </xf>
    <xf numFmtId="0" fontId="15" fillId="18" borderId="30" applyAlignment="1" pivotButton="0" quotePrefix="0" xfId="0">
      <alignment vertical="center"/>
    </xf>
    <xf numFmtId="0" fontId="15" fillId="18" borderId="29" applyAlignment="1" pivotButton="0" quotePrefix="0" xfId="0">
      <alignment vertical="center"/>
    </xf>
    <xf numFmtId="0" fontId="30" fillId="22" borderId="30" applyAlignment="1" pivotButton="0" quotePrefix="0" xfId="0">
      <alignment vertical="center"/>
    </xf>
    <xf numFmtId="0" fontId="30" fillId="22" borderId="29" applyAlignment="1" pivotButton="0" quotePrefix="0" xfId="0">
      <alignment vertical="center"/>
    </xf>
    <xf numFmtId="0" fontId="30" fillId="20" borderId="30" applyAlignment="1" pivotButton="0" quotePrefix="0" xfId="0">
      <alignment vertical="center"/>
    </xf>
    <xf numFmtId="0" fontId="30" fillId="20" borderId="29" applyAlignment="1" pivotButton="0" quotePrefix="0" xfId="0">
      <alignment vertical="center"/>
    </xf>
    <xf numFmtId="0" fontId="15" fillId="3" borderId="22" applyAlignment="1" pivotButton="0" quotePrefix="0" xfId="0">
      <alignment horizontal="center" vertical="center"/>
    </xf>
    <xf numFmtId="0" fontId="17" fillId="3" borderId="29" applyAlignment="1" pivotButton="0" quotePrefix="0" xfId="0">
      <alignment horizontal="left" vertical="center"/>
    </xf>
    <xf numFmtId="0" fontId="15" fillId="9" borderId="29" applyAlignment="1" pivotButton="0" quotePrefix="0" xfId="0">
      <alignment vertical="center"/>
    </xf>
    <xf numFmtId="0" fontId="30" fillId="22" borderId="22" applyAlignment="1" pivotButton="0" quotePrefix="0" xfId="0">
      <alignment vertical="center"/>
    </xf>
    <xf numFmtId="0" fontId="15" fillId="18" borderId="22" applyAlignment="1" pivotButton="0" quotePrefix="0" xfId="0">
      <alignment vertical="center"/>
    </xf>
    <xf numFmtId="0" fontId="30" fillId="20" borderId="22" applyAlignment="1" pivotButton="0" quotePrefix="0" xfId="0">
      <alignment vertical="center"/>
    </xf>
    <xf numFmtId="0" fontId="15" fillId="9" borderId="25" applyAlignment="1" pivotButton="0" quotePrefix="0" xfId="0">
      <alignment vertical="center"/>
    </xf>
    <xf numFmtId="0" fontId="17" fillId="3" borderId="64" applyAlignment="1" pivotButton="0" quotePrefix="0" xfId="0">
      <alignment horizontal="left" vertical="center"/>
    </xf>
    <xf numFmtId="0" fontId="20" fillId="0" borderId="51" applyAlignment="1" pivotButton="0" quotePrefix="0" xfId="0">
      <alignment vertical="center" wrapText="1"/>
    </xf>
    <xf numFmtId="49" fontId="20" fillId="0" borderId="51" applyAlignment="1" pivotButton="0" quotePrefix="0" xfId="0">
      <alignment wrapText="1"/>
    </xf>
    <xf numFmtId="0" fontId="17" fillId="3" borderId="28" applyAlignment="1" pivotButton="0" quotePrefix="0" xfId="0">
      <alignment horizontal="left" vertical="center"/>
    </xf>
    <xf numFmtId="0" fontId="20" fillId="0" borderId="23" applyAlignment="1" pivotButton="0" quotePrefix="0" xfId="0">
      <alignment vertical="center" wrapText="1"/>
    </xf>
    <xf numFmtId="49" fontId="20" fillId="0" borderId="23" applyAlignment="1" pivotButton="0" quotePrefix="0" xfId="0">
      <alignment wrapText="1"/>
    </xf>
    <xf numFmtId="0" fontId="15" fillId="9" borderId="30" applyAlignment="1" pivotButton="0" quotePrefix="0" xfId="0">
      <alignment vertical="center"/>
    </xf>
    <xf numFmtId="167" fontId="16" fillId="24" borderId="29" applyAlignment="1" pivotButton="0" quotePrefix="0" xfId="0">
      <alignment vertical="center"/>
    </xf>
    <xf numFmtId="0" fontId="15" fillId="18" borderId="52" applyAlignment="1" pivotButton="0" quotePrefix="0" xfId="0">
      <alignment vertical="center"/>
    </xf>
    <xf numFmtId="0" fontId="15" fillId="18" borderId="64" applyAlignment="1" pivotButton="0" quotePrefix="0" xfId="0">
      <alignment vertical="center"/>
    </xf>
    <xf numFmtId="0" fontId="17" fillId="3" borderId="23" applyAlignment="1" pivotButton="0" quotePrefix="0" xfId="0">
      <alignment horizontal="left" vertical="center" wrapText="1"/>
    </xf>
    <xf numFmtId="49" fontId="20" fillId="6" borderId="23" applyAlignment="1" pivotButton="0" quotePrefix="1" xfId="0">
      <alignment vertical="center" wrapText="1"/>
    </xf>
    <xf numFmtId="0" fontId="17" fillId="3" borderId="51" applyAlignment="1" pivotButton="0" quotePrefix="0" xfId="0">
      <alignment horizontal="left" vertical="center" wrapText="1"/>
    </xf>
    <xf numFmtId="49" fontId="20" fillId="6" borderId="51" applyAlignment="1" pivotButton="0" quotePrefix="0" xfId="0">
      <alignment vertical="center" wrapText="1"/>
    </xf>
    <xf numFmtId="49" fontId="17" fillId="0" borderId="19" applyAlignment="1" pivotButton="0" quotePrefix="0" xfId="0">
      <alignment vertical="center"/>
    </xf>
    <xf numFmtId="49" fontId="20" fillId="6" borderId="23" applyAlignment="1" pivotButton="0" quotePrefix="0" xfId="0">
      <alignment vertical="center" wrapText="1"/>
    </xf>
    <xf numFmtId="49" fontId="17" fillId="3" borderId="23" applyAlignment="1" pivotButton="0" quotePrefix="0" xfId="0">
      <alignment vertical="center" wrapText="1"/>
    </xf>
    <xf numFmtId="49" fontId="17" fillId="3" borderId="51" applyAlignment="1" pivotButton="0" quotePrefix="0" xfId="0">
      <alignment vertical="center" wrapText="1"/>
    </xf>
    <xf numFmtId="49" fontId="20" fillId="3" borderId="51" applyAlignment="1" pivotButton="0" quotePrefix="0" xfId="0">
      <alignment vertical="center" wrapText="1"/>
    </xf>
    <xf numFmtId="49" fontId="20" fillId="3" borderId="23" applyAlignment="1" pivotButton="0" quotePrefix="0" xfId="0">
      <alignment vertical="center" wrapText="1"/>
    </xf>
    <xf numFmtId="0" fontId="4" fillId="0" borderId="71" applyAlignment="1" pivotButton="0" quotePrefix="0" xfId="0">
      <alignment horizontal="left" vertical="center" wrapText="1"/>
    </xf>
    <xf numFmtId="49" fontId="20" fillId="0" borderId="22" applyAlignment="1" pivotButton="0" quotePrefix="1" xfId="0">
      <alignment vertical="center" wrapText="1"/>
    </xf>
    <xf numFmtId="167" fontId="4" fillId="7" borderId="72" applyAlignment="1" pivotButton="0" quotePrefix="0" xfId="1">
      <alignment vertical="center" wrapText="1"/>
    </xf>
    <xf numFmtId="0" fontId="4" fillId="12" borderId="62" applyAlignment="1" pivotButton="0" quotePrefix="0" xfId="0">
      <alignment horizontal="center" vertical="center" wrapText="1"/>
    </xf>
    <xf numFmtId="0" fontId="4" fillId="12" borderId="49" applyAlignment="1" pivotButton="0" quotePrefix="0" xfId="0">
      <alignment horizontal="center" vertical="center" wrapText="1"/>
    </xf>
    <xf numFmtId="0" fontId="11" fillId="12" borderId="49" applyAlignment="1" pivotButton="0" quotePrefix="0" xfId="0">
      <alignment horizontal="center" vertical="center" wrapText="1"/>
    </xf>
    <xf numFmtId="0" fontId="4" fillId="12" borderId="50" applyAlignment="1" pivotButton="0" quotePrefix="0" xfId="0">
      <alignment horizontal="center" vertical="center" wrapText="1"/>
    </xf>
    <xf numFmtId="167" fontId="3" fillId="12" borderId="22" applyAlignment="1" pivotButton="0" quotePrefix="0" xfId="1">
      <alignment vertical="center" wrapText="1"/>
    </xf>
    <xf numFmtId="167" fontId="6" fillId="12" borderId="22" applyAlignment="1" pivotButton="0" quotePrefix="0" xfId="1">
      <alignment vertical="center" wrapText="1"/>
    </xf>
    <xf numFmtId="0" fontId="4" fillId="0" borderId="53" applyAlignment="1" pivotButton="0" quotePrefix="0" xfId="0">
      <alignment vertical="center" wrapText="1"/>
    </xf>
    <xf numFmtId="0" fontId="4" fillId="0" borderId="73" applyAlignment="1" pivotButton="0" quotePrefix="0" xfId="0">
      <alignment horizontal="left" vertical="center" wrapText="1"/>
    </xf>
    <xf numFmtId="167" fontId="3" fillId="12" borderId="32" applyAlignment="1" pivotButton="0" quotePrefix="0" xfId="1">
      <alignment vertical="center" wrapText="1"/>
    </xf>
    <xf numFmtId="167" fontId="6" fillId="12" borderId="31" applyAlignment="1" pivotButton="0" quotePrefix="0" xfId="1">
      <alignment vertical="center" wrapText="1"/>
    </xf>
    <xf numFmtId="0" fontId="33" fillId="14" borderId="74" applyAlignment="1" pivotButton="0" quotePrefix="0" xfId="0">
      <alignment vertical="center"/>
    </xf>
    <xf numFmtId="0" fontId="33" fillId="14" borderId="71" applyAlignment="1" pivotButton="0" quotePrefix="0" xfId="0">
      <alignment horizontal="left" vertical="center" wrapText="1"/>
    </xf>
    <xf numFmtId="0" fontId="33" fillId="14" borderId="75" applyAlignment="1" pivotButton="0" quotePrefix="0" xfId="0">
      <alignment vertical="center"/>
    </xf>
    <xf numFmtId="0" fontId="11" fillId="11" borderId="19" pivotButton="0" quotePrefix="0" xfId="0"/>
    <xf numFmtId="0" fontId="3" fillId="0" borderId="22" applyAlignment="1" pivotButton="0" quotePrefix="0" xfId="2">
      <alignment vertical="center"/>
    </xf>
    <xf numFmtId="0" fontId="2" fillId="0" borderId="22" applyAlignment="1" pivotButton="0" quotePrefix="0" xfId="2">
      <alignment vertical="center"/>
    </xf>
    <xf numFmtId="0" fontId="4" fillId="0" borderId="51" applyAlignment="1" pivotButton="0" quotePrefix="0" xfId="2">
      <alignment vertical="center"/>
    </xf>
    <xf numFmtId="0" fontId="4" fillId="0" borderId="22" applyAlignment="1" pivotButton="0" quotePrefix="0" xfId="2">
      <alignment vertical="center"/>
    </xf>
    <xf numFmtId="0" fontId="2" fillId="0" borderId="23" applyAlignment="1" pivotButton="0" quotePrefix="0" xfId="2">
      <alignment vertical="center"/>
    </xf>
    <xf numFmtId="0" fontId="4" fillId="0" borderId="23" applyAlignment="1" pivotButton="0" quotePrefix="0" xfId="2">
      <alignment vertical="center"/>
    </xf>
    <xf numFmtId="0" fontId="2" fillId="0" borderId="51" applyAlignment="1" pivotButton="0" quotePrefix="0" xfId="2">
      <alignment vertical="center"/>
    </xf>
    <xf numFmtId="0" fontId="3" fillId="0" borderId="51" applyAlignment="1" pivotButton="0" quotePrefix="0" xfId="2">
      <alignment vertical="center"/>
    </xf>
    <xf numFmtId="0" fontId="4" fillId="0" borderId="22" applyAlignment="1" pivotButton="0" quotePrefix="0" xfId="2">
      <alignment horizontal="center" vertical="center"/>
    </xf>
    <xf numFmtId="0" fontId="4" fillId="0" borderId="61" applyAlignment="1" pivotButton="0" quotePrefix="0" xfId="0">
      <alignment horizontal="left" vertical="center" wrapText="1"/>
    </xf>
    <xf numFmtId="0" fontId="33" fillId="14" borderId="73" applyAlignment="1" pivotButton="0" quotePrefix="0" xfId="0">
      <alignment vertical="center"/>
    </xf>
    <xf numFmtId="0" fontId="4" fillId="0" borderId="71" applyAlignment="1" pivotButton="0" quotePrefix="0" xfId="0">
      <alignment horizontal="left" vertical="center" indent="1"/>
    </xf>
    <xf numFmtId="0" fontId="33" fillId="14" borderId="83" applyAlignment="1" pivotButton="0" quotePrefix="0" xfId="0">
      <alignment vertical="center"/>
    </xf>
    <xf numFmtId="0" fontId="3" fillId="13" borderId="86" applyAlignment="1" pivotButton="0" quotePrefix="0" xfId="2">
      <alignment horizontal="center" vertical="center" wrapText="1"/>
    </xf>
    <xf numFmtId="0" fontId="3" fillId="13" borderId="87" applyAlignment="1" pivotButton="0" quotePrefix="0" xfId="2">
      <alignment horizontal="center" vertical="center" wrapText="1"/>
    </xf>
    <xf numFmtId="0" fontId="3" fillId="13" borderId="88" applyAlignment="1" pivotButton="0" quotePrefix="0" xfId="2">
      <alignment horizontal="center" vertical="center" wrapText="1"/>
    </xf>
    <xf numFmtId="0" fontId="3" fillId="13" borderId="89" applyAlignment="1" pivotButton="0" quotePrefix="0" xfId="2">
      <alignment horizontal="center" vertical="center" wrapText="1"/>
    </xf>
    <xf numFmtId="0" fontId="2" fillId="0" borderId="32" applyAlignment="1" pivotButton="0" quotePrefix="0" xfId="2">
      <alignment vertical="center"/>
    </xf>
    <xf numFmtId="0" fontId="2" fillId="0" borderId="31" applyAlignment="1" pivotButton="0" quotePrefix="0" xfId="2">
      <alignment vertical="center"/>
    </xf>
    <xf numFmtId="0" fontId="2" fillId="0" borderId="80" applyAlignment="1" pivotButton="0" quotePrefix="0" xfId="2">
      <alignment vertical="center"/>
    </xf>
    <xf numFmtId="0" fontId="3" fillId="0" borderId="81" applyAlignment="1" pivotButton="0" quotePrefix="0" xfId="2">
      <alignment vertical="center"/>
    </xf>
    <xf numFmtId="0" fontId="2" fillId="0" borderId="81" applyAlignment="1" pivotButton="0" quotePrefix="0" xfId="2">
      <alignment vertical="center"/>
    </xf>
    <xf numFmtId="0" fontId="4" fillId="13" borderId="90" applyAlignment="1" pivotButton="0" quotePrefix="0" xfId="2">
      <alignment horizontal="center" vertical="center"/>
    </xf>
    <xf numFmtId="0" fontId="4" fillId="13" borderId="91" applyAlignment="1" pivotButton="0" quotePrefix="0" xfId="2">
      <alignment horizontal="center" vertical="center"/>
    </xf>
    <xf numFmtId="0" fontId="4" fillId="13" borderId="75" applyAlignment="1" pivotButton="0" quotePrefix="0" xfId="2">
      <alignment horizontal="center" vertical="center"/>
    </xf>
    <xf numFmtId="0" fontId="3" fillId="0" borderId="21" applyAlignment="1" pivotButton="0" quotePrefix="0" xfId="2">
      <alignment horizontal="center" vertical="center" wrapText="1"/>
    </xf>
    <xf numFmtId="0" fontId="7" fillId="13" borderId="3" applyAlignment="1" pivotButton="0" quotePrefix="0" xfId="2">
      <alignment horizontal="left" vertical="center" wrapText="1"/>
    </xf>
    <xf numFmtId="0" fontId="21" fillId="0" borderId="84" applyAlignment="1" pivotButton="0" quotePrefix="0" xfId="2">
      <alignment horizontal="center" vertical="center" wrapText="1"/>
    </xf>
    <xf numFmtId="0" fontId="3" fillId="0" borderId="20" applyAlignment="1" pivotButton="0" quotePrefix="0" xfId="2">
      <alignment horizontal="center" vertical="center" wrapText="1"/>
    </xf>
    <xf numFmtId="0" fontId="3" fillId="0" borderId="92" applyAlignment="1" pivotButton="0" quotePrefix="0" xfId="2">
      <alignment horizontal="center" vertical="center" wrapText="1"/>
    </xf>
    <xf numFmtId="0" fontId="5" fillId="13" borderId="99" applyAlignment="1" pivotButton="0" quotePrefix="0" xfId="2">
      <alignment horizontal="center" vertical="center" wrapText="1"/>
    </xf>
    <xf numFmtId="0" fontId="5" fillId="13" borderId="100" applyAlignment="1" pivotButton="0" quotePrefix="0" xfId="2">
      <alignment horizontal="center" vertical="center" wrapText="1"/>
    </xf>
    <xf numFmtId="0" fontId="35" fillId="13" borderId="97" applyAlignment="1" pivotButton="0" quotePrefix="0" xfId="2">
      <alignment horizontal="left" vertical="center" wrapText="1" indent="1"/>
    </xf>
    <xf numFmtId="0" fontId="35" fillId="13" borderId="27" applyAlignment="1" pivotButton="0" quotePrefix="0" xfId="2">
      <alignment horizontal="left" vertical="center" wrapText="1" indent="1"/>
    </xf>
    <xf numFmtId="0" fontId="35" fillId="13" borderId="98" applyAlignment="1" pivotButton="0" quotePrefix="0" xfId="2">
      <alignment horizontal="left" vertical="center" wrapText="1" indent="1"/>
    </xf>
    <xf numFmtId="0" fontId="2" fillId="11" borderId="6" applyAlignment="1" pivotButton="0" quotePrefix="0" xfId="2">
      <alignment horizontal="center" vertical="center"/>
    </xf>
    <xf numFmtId="0" fontId="2" fillId="11" borderId="38" applyAlignment="1" pivotButton="0" quotePrefix="0" xfId="2">
      <alignment horizontal="center" vertical="center"/>
    </xf>
    <xf numFmtId="0" fontId="2" fillId="11" borderId="10" applyAlignment="1" pivotButton="0" quotePrefix="0" xfId="2">
      <alignment horizontal="center" vertical="center"/>
    </xf>
    <xf numFmtId="0" fontId="2" fillId="11" borderId="39" applyAlignment="1" pivotButton="0" quotePrefix="0" xfId="2">
      <alignment horizontal="center" vertical="center"/>
    </xf>
    <xf numFmtId="0" fontId="2" fillId="0" borderId="21" applyAlignment="1" pivotButton="0" quotePrefix="0" xfId="2">
      <alignment horizontal="center" vertical="center"/>
    </xf>
    <xf numFmtId="0" fontId="2" fillId="0" borderId="19" applyAlignment="1" pivotButton="0" quotePrefix="0" xfId="2">
      <alignment horizontal="center" vertical="center"/>
    </xf>
    <xf numFmtId="0" fontId="2" fillId="11" borderId="21" applyAlignment="1" pivotButton="0" quotePrefix="0" xfId="2">
      <alignment horizontal="center" vertical="center"/>
    </xf>
    <xf numFmtId="0" fontId="2" fillId="11" borderId="93" applyAlignment="1" pivotButton="0" quotePrefix="0" xfId="2">
      <alignment horizontal="center" vertical="center"/>
    </xf>
    <xf numFmtId="0" fontId="3" fillId="13" borderId="61" applyAlignment="1" pivotButton="0" quotePrefix="0" xfId="2">
      <alignment vertical="center"/>
    </xf>
    <xf numFmtId="0" fontId="3" fillId="13" borderId="94" applyAlignment="1" pivotButton="0" quotePrefix="0" xfId="2">
      <alignment horizontal="left" vertical="center" wrapText="1"/>
    </xf>
    <xf numFmtId="0" fontId="3" fillId="13" borderId="96" applyAlignment="1" pivotButton="0" quotePrefix="0" xfId="2">
      <alignment horizontal="left" vertical="center" wrapText="1"/>
    </xf>
    <xf numFmtId="0" fontId="4" fillId="0" borderId="101" applyAlignment="1" pivotButton="0" quotePrefix="0" xfId="2">
      <alignment horizontal="center" vertical="center"/>
    </xf>
    <xf numFmtId="0" fontId="4" fillId="0" borderId="95" applyAlignment="1" pivotButton="0" quotePrefix="0" xfId="2">
      <alignment horizontal="center" vertical="center"/>
    </xf>
    <xf numFmtId="0" fontId="4" fillId="0" borderId="96" applyAlignment="1" pivotButton="0" quotePrefix="0" xfId="2">
      <alignment horizontal="center" vertical="center"/>
    </xf>
    <xf numFmtId="0" fontId="4" fillId="13" borderId="54" applyAlignment="1" pivotButton="0" quotePrefix="0" xfId="2">
      <alignment horizontal="left" vertical="center" wrapText="1"/>
    </xf>
    <xf numFmtId="0" fontId="5" fillId="0" borderId="37" applyAlignment="1" pivotButton="0" quotePrefix="0" xfId="2">
      <alignment horizontal="center" vertical="center" wrapText="1"/>
    </xf>
    <xf numFmtId="0" fontId="5" fillId="0" borderId="2" applyAlignment="1" pivotButton="0" quotePrefix="0" xfId="2">
      <alignment horizontal="center" vertical="center" wrapText="1"/>
    </xf>
    <xf numFmtId="0" fontId="5" fillId="0" borderId="4" applyAlignment="1" pivotButton="0" quotePrefix="0" xfId="2">
      <alignment horizontal="center" vertical="center" wrapText="1"/>
    </xf>
    <xf numFmtId="0" fontId="2" fillId="0" borderId="66" applyAlignment="1" pivotButton="0" quotePrefix="0" xfId="2">
      <alignment vertical="center"/>
    </xf>
    <xf numFmtId="0" fontId="4" fillId="0" borderId="51" applyAlignment="1" pivotButton="0" quotePrefix="0" xfId="2">
      <alignment horizontal="center" vertical="center"/>
    </xf>
    <xf numFmtId="0" fontId="2" fillId="0" borderId="65" applyAlignment="1" pivotButton="0" quotePrefix="0" xfId="2">
      <alignment vertical="center"/>
    </xf>
    <xf numFmtId="0" fontId="2" fillId="0" borderId="58" applyAlignment="1" pivotButton="0" quotePrefix="0" xfId="2">
      <alignment vertical="center"/>
    </xf>
    <xf numFmtId="0" fontId="3" fillId="0" borderId="23" applyAlignment="1" pivotButton="0" quotePrefix="0" xfId="2">
      <alignment vertical="center"/>
    </xf>
    <xf numFmtId="0" fontId="2" fillId="0" borderId="57" applyAlignment="1" pivotButton="0" quotePrefix="0" xfId="2">
      <alignment vertical="center"/>
    </xf>
    <xf numFmtId="0" fontId="3" fillId="13" borderId="94" applyAlignment="1" pivotButton="0" quotePrefix="0" xfId="2">
      <alignment horizontal="center" vertical="center" wrapText="1"/>
    </xf>
    <xf numFmtId="0" fontId="3" fillId="13" borderId="102" applyAlignment="1" pivotButton="0" quotePrefix="0" xfId="2">
      <alignment horizontal="center" vertical="center" wrapText="1"/>
    </xf>
    <xf numFmtId="0" fontId="2" fillId="0" borderId="61" applyAlignment="1" pivotButton="0" quotePrefix="0" xfId="2">
      <alignment vertical="center"/>
    </xf>
    <xf numFmtId="0" fontId="2" fillId="0" borderId="63" applyAlignment="1" pivotButton="0" quotePrefix="0" xfId="2">
      <alignment vertical="center"/>
    </xf>
    <xf numFmtId="0" fontId="2" fillId="0" borderId="55" applyAlignment="1" pivotButton="0" quotePrefix="0" xfId="2">
      <alignment vertical="center"/>
    </xf>
    <xf numFmtId="0" fontId="4" fillId="0" borderId="63" applyAlignment="1" pivotButton="0" quotePrefix="0" xfId="2">
      <alignment vertical="center" wrapText="1"/>
    </xf>
    <xf numFmtId="0" fontId="4" fillId="0" borderId="55" applyAlignment="1" pivotButton="0" quotePrefix="0" xfId="2">
      <alignment vertical="center" wrapText="1"/>
    </xf>
    <xf numFmtId="0" fontId="4" fillId="27" borderId="61" applyAlignment="1" pivotButton="0" quotePrefix="0" xfId="2">
      <alignment vertical="center" wrapText="1"/>
    </xf>
    <xf numFmtId="0" fontId="4" fillId="0" borderId="54" pivotButton="0" quotePrefix="0" xfId="0"/>
    <xf numFmtId="0" fontId="36" fillId="0" borderId="54" applyAlignment="1" pivotButton="0" quotePrefix="0" xfId="0">
      <alignment vertical="center"/>
    </xf>
    <xf numFmtId="0" fontId="34" fillId="25" borderId="82" pivotButton="0" quotePrefix="0" xfId="0"/>
    <xf numFmtId="167" fontId="4" fillId="12" borderId="107" applyAlignment="1" pivotButton="0" quotePrefix="0" xfId="1">
      <alignment vertical="center" wrapText="1"/>
    </xf>
    <xf numFmtId="0" fontId="37" fillId="0" borderId="76" applyAlignment="1" pivotButton="0" quotePrefix="0" xfId="0">
      <alignment vertical="center"/>
    </xf>
    <xf numFmtId="169" fontId="37" fillId="28" borderId="103" applyAlignment="1" pivotButton="0" quotePrefix="0" xfId="0">
      <alignment vertical="center"/>
    </xf>
    <xf numFmtId="169" fontId="37" fillId="28" borderId="104" applyAlignment="1" pivotButton="0" quotePrefix="0" xfId="0">
      <alignment vertical="center"/>
    </xf>
    <xf numFmtId="169" fontId="37" fillId="28" borderId="105" applyAlignment="1" pivotButton="0" quotePrefix="0" xfId="0">
      <alignment vertical="center"/>
    </xf>
    <xf numFmtId="169" fontId="37" fillId="28" borderId="106" applyAlignment="1" pivotButton="0" quotePrefix="0" xfId="0">
      <alignment vertical="center"/>
    </xf>
    <xf numFmtId="0" fontId="4" fillId="0" borderId="81" applyAlignment="1" pivotButton="0" quotePrefix="0" xfId="2">
      <alignment vertical="center"/>
    </xf>
    <xf numFmtId="0" fontId="4" fillId="13" borderId="94" applyAlignment="1" pivotButton="0" quotePrefix="0" xfId="2">
      <alignment horizontal="center" vertical="center"/>
    </xf>
    <xf numFmtId="0" fontId="4" fillId="13" borderId="102" applyAlignment="1" pivotButton="0" quotePrefix="0" xfId="2">
      <alignment horizontal="center" vertical="center" wrapText="1"/>
    </xf>
    <xf numFmtId="0" fontId="4" fillId="13" borderId="94" applyAlignment="1" pivotButton="0" quotePrefix="0" xfId="2">
      <alignment horizontal="center" vertical="center" wrapText="1"/>
    </xf>
    <xf numFmtId="0" fontId="4" fillId="13" borderId="96" applyAlignment="1" pivotButton="0" quotePrefix="0" xfId="2">
      <alignment horizontal="center" vertical="center" wrapText="1"/>
    </xf>
    <xf numFmtId="0" fontId="3" fillId="13" borderId="19" applyAlignment="1" pivotButton="0" quotePrefix="0" xfId="2">
      <alignment horizontal="center" vertical="center"/>
    </xf>
    <xf numFmtId="0" fontId="2" fillId="11" borderId="19" applyAlignment="1" pivotButton="0" quotePrefix="0" xfId="2">
      <alignment horizontal="center" vertical="center"/>
    </xf>
    <xf numFmtId="167" fontId="37" fillId="29" borderId="104" applyAlignment="1" pivotButton="0" quotePrefix="0" xfId="0">
      <alignment vertical="center"/>
    </xf>
    <xf numFmtId="167" fontId="37" fillId="29" borderId="105" applyAlignment="1" pivotButton="0" quotePrefix="0" xfId="0">
      <alignment vertical="center"/>
    </xf>
    <xf numFmtId="167" fontId="37" fillId="29" borderId="106" applyAlignment="1" pivotButton="0" quotePrefix="0" xfId="0">
      <alignment vertical="center"/>
    </xf>
    <xf numFmtId="167" fontId="3" fillId="7" borderId="22" applyAlignment="1" pivotButton="0" quotePrefix="0" xfId="1">
      <alignment vertical="center" wrapText="1"/>
    </xf>
    <xf numFmtId="167" fontId="4" fillId="28" borderId="19" applyAlignment="1" pivotButton="0" quotePrefix="0" xfId="1">
      <alignment vertical="center" wrapText="1"/>
    </xf>
    <xf numFmtId="167" fontId="4" fillId="19" borderId="63" applyAlignment="1" pivotButton="0" quotePrefix="0" xfId="1">
      <alignment vertical="center" wrapText="1"/>
    </xf>
    <xf numFmtId="167" fontId="4" fillId="7" borderId="30" applyAlignment="1" pivotButton="0" quotePrefix="0" xfId="1">
      <alignment vertical="center" wrapText="1"/>
    </xf>
    <xf numFmtId="0" fontId="4" fillId="7" borderId="48" applyAlignment="1" pivotButton="0" quotePrefix="0" xfId="0">
      <alignment horizontal="center" vertical="center" wrapText="1"/>
    </xf>
    <xf numFmtId="0" fontId="4" fillId="7" borderId="49" applyAlignment="1" pivotButton="0" quotePrefix="0" xfId="0">
      <alignment horizontal="center" vertical="center" wrapText="1"/>
    </xf>
    <xf numFmtId="0" fontId="11" fillId="7" borderId="49" applyAlignment="1" pivotButton="0" quotePrefix="0" xfId="0">
      <alignment horizontal="center" vertical="center" wrapText="1"/>
    </xf>
    <xf numFmtId="0" fontId="4" fillId="7" borderId="50" applyAlignment="1" pivotButton="0" quotePrefix="0" xfId="0">
      <alignment horizontal="center" vertical="center" wrapText="1"/>
    </xf>
    <xf numFmtId="167" fontId="3" fillId="7" borderId="32" applyAlignment="1" pivotButton="0" quotePrefix="0" xfId="1">
      <alignment vertical="center" wrapText="1"/>
    </xf>
    <xf numFmtId="167" fontId="3" fillId="7" borderId="31" applyAlignment="1" pivotButton="0" quotePrefix="0" xfId="1">
      <alignment vertical="center" wrapText="1"/>
    </xf>
    <xf numFmtId="167" fontId="4" fillId="19" borderId="54" applyAlignment="1" pivotButton="0" quotePrefix="0" xfId="1">
      <alignment vertical="center" wrapText="1"/>
    </xf>
    <xf numFmtId="167" fontId="37" fillId="29" borderId="54" applyAlignment="1" pivotButton="0" quotePrefix="0" xfId="0">
      <alignment vertical="center"/>
    </xf>
    <xf numFmtId="0" fontId="0" fillId="11" borderId="19" applyAlignment="1" pivotButton="0" quotePrefix="0" xfId="0">
      <alignment vertical="center"/>
    </xf>
    <xf numFmtId="49" fontId="20" fillId="3" borderId="23" applyAlignment="1" pivotButton="0" quotePrefix="1" xfId="0">
      <alignment vertical="center" wrapText="1"/>
    </xf>
    <xf numFmtId="0" fontId="22" fillId="0" borderId="0" pivotButton="0" quotePrefix="0" xfId="0"/>
    <xf numFmtId="0" fontId="15" fillId="0" borderId="0" applyAlignment="1" pivotButton="0" quotePrefix="0" xfId="0">
      <alignment horizontal="center"/>
    </xf>
    <xf numFmtId="0" fontId="15" fillId="3" borderId="19" applyAlignment="1" pivotButton="0" quotePrefix="0" xfId="0">
      <alignment horizontal="center" vertical="center"/>
    </xf>
    <xf numFmtId="0" fontId="19" fillId="13" borderId="19" applyAlignment="1" pivotButton="0" quotePrefix="0" xfId="0">
      <alignment horizontal="center" vertical="center"/>
    </xf>
    <xf numFmtId="167" fontId="4" fillId="12" borderId="30" applyAlignment="1" pivotButton="0" quotePrefix="0" xfId="1">
      <alignment vertical="center" wrapText="1"/>
    </xf>
    <xf numFmtId="0" fontId="4" fillId="0" borderId="56" applyAlignment="1" pivotButton="0" quotePrefix="0" xfId="0">
      <alignment horizontal="left" vertical="center" indent="1"/>
    </xf>
    <xf numFmtId="0" fontId="4" fillId="0" borderId="110" applyAlignment="1" pivotButton="0" quotePrefix="0" xfId="0">
      <alignment horizontal="left" vertical="center" indent="1"/>
    </xf>
    <xf numFmtId="0" fontId="4" fillId="0" borderId="112" applyAlignment="1" pivotButton="0" quotePrefix="0" xfId="0">
      <alignment horizontal="left" vertical="center" indent="1"/>
    </xf>
    <xf numFmtId="167" fontId="3" fillId="12" borderId="29" applyAlignment="1" pivotButton="0" quotePrefix="0" xfId="1">
      <alignment vertical="center" wrapText="1"/>
    </xf>
    <xf numFmtId="0" fontId="4" fillId="0" borderId="85" applyAlignment="1" pivotButton="0" quotePrefix="0" xfId="0">
      <alignment horizontal="left" vertical="center" indent="1"/>
    </xf>
    <xf numFmtId="167" fontId="4" fillId="12" borderId="56" applyAlignment="1" pivotButton="0" quotePrefix="0" xfId="1">
      <alignment vertical="center" wrapText="1"/>
    </xf>
    <xf numFmtId="167" fontId="4" fillId="12" borderId="111" applyAlignment="1" pivotButton="0" quotePrefix="0" xfId="1">
      <alignment vertical="center" wrapText="1"/>
    </xf>
    <xf numFmtId="167" fontId="4" fillId="12" borderId="110" applyAlignment="1" pivotButton="0" quotePrefix="0" xfId="1">
      <alignment vertical="center" wrapText="1"/>
    </xf>
    <xf numFmtId="167" fontId="3" fillId="12" borderId="64" applyAlignment="1" pivotButton="0" quotePrefix="0" xfId="1">
      <alignment vertical="center" wrapText="1"/>
    </xf>
    <xf numFmtId="167" fontId="3" fillId="12" borderId="51" applyAlignment="1" pivotButton="0" quotePrefix="0" xfId="1">
      <alignment vertical="center" wrapText="1"/>
    </xf>
    <xf numFmtId="167" fontId="6" fillId="12" borderId="51" applyAlignment="1" pivotButton="0" quotePrefix="0" xfId="1">
      <alignment vertical="center" wrapText="1"/>
    </xf>
    <xf numFmtId="167" fontId="6" fillId="12" borderId="65" applyAlignment="1" pivotButton="0" quotePrefix="0" xfId="1">
      <alignment vertical="center" wrapText="1"/>
    </xf>
    <xf numFmtId="167" fontId="4" fillId="7" borderId="19" applyAlignment="1" pivotButton="0" quotePrefix="0" xfId="1">
      <alignment vertical="center" wrapText="1"/>
    </xf>
    <xf numFmtId="167" fontId="3" fillId="7" borderId="66" applyAlignment="1" pivotButton="0" quotePrefix="0" xfId="1">
      <alignment vertical="center" wrapText="1"/>
    </xf>
    <xf numFmtId="167" fontId="3" fillId="7" borderId="51" applyAlignment="1" pivotButton="0" quotePrefix="0" xfId="1">
      <alignment vertical="center" wrapText="1"/>
    </xf>
    <xf numFmtId="167" fontId="3" fillId="7" borderId="65" applyAlignment="1" pivotButton="0" quotePrefix="0" xfId="1">
      <alignment vertical="center" wrapText="1"/>
    </xf>
    <xf numFmtId="167" fontId="3" fillId="12" borderId="28" applyAlignment="1" pivotButton="0" quotePrefix="0" xfId="1">
      <alignment vertical="center" wrapText="1"/>
    </xf>
    <xf numFmtId="167" fontId="3" fillId="12" borderId="23" applyAlignment="1" pivotButton="0" quotePrefix="0" xfId="1">
      <alignment vertical="center" wrapText="1"/>
    </xf>
    <xf numFmtId="167" fontId="6" fillId="12" borderId="23" applyAlignment="1" pivotButton="0" quotePrefix="0" xfId="1">
      <alignment vertical="center" wrapText="1"/>
    </xf>
    <xf numFmtId="167" fontId="6" fillId="12" borderId="57" applyAlignment="1" pivotButton="0" quotePrefix="0" xfId="1">
      <alignment vertical="center" wrapText="1"/>
    </xf>
    <xf numFmtId="167" fontId="3" fillId="7" borderId="58" applyAlignment="1" pivotButton="0" quotePrefix="0" xfId="1">
      <alignment vertical="center" wrapText="1"/>
    </xf>
    <xf numFmtId="167" fontId="3" fillId="7" borderId="23" applyAlignment="1" pivotButton="0" quotePrefix="0" xfId="1">
      <alignment vertical="center" wrapText="1"/>
    </xf>
    <xf numFmtId="167" fontId="3" fillId="7" borderId="57" applyAlignment="1" pivotButton="0" quotePrefix="0" xfId="1">
      <alignment vertical="center" wrapText="1"/>
    </xf>
    <xf numFmtId="167" fontId="3" fillId="28" borderId="113" applyAlignment="1" pivotButton="0" quotePrefix="0" xfId="1">
      <alignment vertical="center" wrapText="1"/>
    </xf>
    <xf numFmtId="167" fontId="3" fillId="28" borderId="59" applyAlignment="1" pivotButton="0" quotePrefix="0" xfId="1">
      <alignment vertical="center" wrapText="1"/>
    </xf>
    <xf numFmtId="167" fontId="6" fillId="28" borderId="59" applyAlignment="1" pivotButton="0" quotePrefix="0" xfId="1">
      <alignment vertical="center" wrapText="1"/>
    </xf>
    <xf numFmtId="167" fontId="6" fillId="28" borderId="60" applyAlignment="1" pivotButton="0" quotePrefix="0" xfId="1">
      <alignment vertical="center" wrapText="1"/>
    </xf>
    <xf numFmtId="167" fontId="3" fillId="19" borderId="113" applyAlignment="1" pivotButton="0" quotePrefix="0" xfId="1">
      <alignment vertical="center" wrapText="1"/>
    </xf>
    <xf numFmtId="167" fontId="3" fillId="19" borderId="59" applyAlignment="1" pivotButton="0" quotePrefix="0" xfId="1">
      <alignment vertical="center" wrapText="1"/>
    </xf>
    <xf numFmtId="167" fontId="3" fillId="19" borderId="60" applyAlignment="1" pivotButton="0" quotePrefix="0" xfId="1">
      <alignment vertical="center" wrapText="1"/>
    </xf>
    <xf numFmtId="167" fontId="3" fillId="12" borderId="58" applyAlignment="1" pivotButton="0" quotePrefix="0" xfId="1">
      <alignment vertical="center" wrapText="1"/>
    </xf>
    <xf numFmtId="0" fontId="4" fillId="30" borderId="67" applyAlignment="1" pivotButton="0" quotePrefix="0" xfId="2">
      <alignment horizontal="center" vertical="center"/>
    </xf>
    <xf numFmtId="0" fontId="7" fillId="30" borderId="35" applyAlignment="1" pivotButton="0" quotePrefix="0" xfId="2">
      <alignment horizontal="left" vertical="center" wrapText="1"/>
    </xf>
    <xf numFmtId="0" fontId="7" fillId="30" borderId="113" applyAlignment="1" pivotButton="0" quotePrefix="0" xfId="2">
      <alignment horizontal="center" vertical="center" wrapText="1"/>
    </xf>
    <xf numFmtId="0" fontId="7" fillId="30" borderId="60" applyAlignment="1" pivotButton="0" quotePrefix="0" xfId="2">
      <alignment horizontal="center" vertical="center" wrapText="1"/>
    </xf>
    <xf numFmtId="0" fontId="35" fillId="13" borderId="115" applyAlignment="1" pivotButton="0" quotePrefix="0" xfId="2">
      <alignment horizontal="left" vertical="center" wrapText="1"/>
    </xf>
    <xf numFmtId="0" fontId="35" fillId="13" borderId="8" applyAlignment="1" pivotButton="0" quotePrefix="0" xfId="2">
      <alignment horizontal="left" vertical="center" wrapText="1"/>
    </xf>
    <xf numFmtId="0" fontId="35" fillId="13" borderId="16" applyAlignment="1" pivotButton="0" quotePrefix="0" xfId="2">
      <alignment horizontal="left" vertical="center" wrapText="1"/>
    </xf>
    <xf numFmtId="0" fontId="39" fillId="13" borderId="114" applyAlignment="1" pivotButton="0" quotePrefix="0" xfId="2">
      <alignment horizontal="center" vertical="center"/>
    </xf>
    <xf numFmtId="0" fontId="35" fillId="13" borderId="28" applyAlignment="1" pivotButton="0" quotePrefix="0" xfId="2">
      <alignment horizontal="center" vertical="center" wrapText="1"/>
    </xf>
    <xf numFmtId="0" fontId="35" fillId="13" borderId="26" applyAlignment="1" pivotButton="0" quotePrefix="0" xfId="2">
      <alignment horizontal="center" vertical="center" wrapText="1"/>
    </xf>
    <xf numFmtId="0" fontId="39" fillId="13" borderId="119" applyAlignment="1" pivotButton="0" quotePrefix="0" xfId="2">
      <alignment horizontal="center" vertical="center"/>
    </xf>
    <xf numFmtId="0" fontId="35" fillId="13" borderId="29" applyAlignment="1" pivotButton="0" quotePrefix="0" xfId="2">
      <alignment horizontal="center" vertical="center" wrapText="1"/>
    </xf>
    <xf numFmtId="0" fontId="35" fillId="13" borderId="25" applyAlignment="1" pivotButton="0" quotePrefix="0" xfId="2">
      <alignment horizontal="center" vertical="center" wrapText="1"/>
    </xf>
    <xf numFmtId="0" fontId="39" fillId="13" borderId="120" applyAlignment="1" pivotButton="0" quotePrefix="0" xfId="2">
      <alignment horizontal="center" vertical="center"/>
    </xf>
    <xf numFmtId="0" fontId="35" fillId="13" borderId="121" applyAlignment="1" pivotButton="0" quotePrefix="0" xfId="2">
      <alignment horizontal="center" vertical="center" wrapText="1"/>
    </xf>
    <xf numFmtId="0" fontId="35" fillId="13" borderId="122" applyAlignment="1" pivotButton="0" quotePrefix="0" xfId="2">
      <alignment horizontal="center" vertical="center" wrapText="1"/>
    </xf>
    <xf numFmtId="0" fontId="4" fillId="0" borderId="54" applyAlignment="1" pivotButton="0" quotePrefix="0" xfId="0">
      <alignment horizontal="left" vertical="center" indent="1"/>
    </xf>
    <xf numFmtId="0" fontId="25" fillId="0" borderId="124" applyAlignment="1" pivotButton="0" quotePrefix="0" xfId="2">
      <alignment horizontal="center" vertical="center" wrapText="1"/>
    </xf>
    <xf numFmtId="0" fontId="25" fillId="13" borderId="50" applyAlignment="1" pivotButton="0" quotePrefix="0" xfId="2">
      <alignment horizontal="center" vertical="center" wrapText="1"/>
    </xf>
    <xf numFmtId="0" fontId="4" fillId="0" borderId="51" applyAlignment="1" pivotButton="0" quotePrefix="0" xfId="2">
      <alignment vertical="center" wrapText="1"/>
    </xf>
    <xf numFmtId="0" fontId="26" fillId="0" borderId="51" applyAlignment="1" pivotButton="0" quotePrefix="0" xfId="2">
      <alignment vertical="center" wrapText="1"/>
    </xf>
    <xf numFmtId="0" fontId="25" fillId="0" borderId="62" applyAlignment="1" pivotButton="0" quotePrefix="0" xfId="2">
      <alignment horizontal="center" vertical="center" wrapText="1"/>
    </xf>
    <xf numFmtId="0" fontId="25" fillId="13" borderId="49" applyAlignment="1" pivotButton="0" quotePrefix="0" xfId="2">
      <alignment horizontal="center" vertical="center" wrapText="1"/>
    </xf>
    <xf numFmtId="0" fontId="2" fillId="0" borderId="125" applyAlignment="1" pivotButton="0" quotePrefix="0" xfId="2">
      <alignment vertical="center"/>
    </xf>
    <xf numFmtId="0" fontId="2" fillId="15" borderId="126" applyAlignment="1" pivotButton="0" quotePrefix="0" xfId="2">
      <alignment vertical="center"/>
    </xf>
    <xf numFmtId="0" fontId="2" fillId="15" borderId="127" applyAlignment="1" pivotButton="0" quotePrefix="0" xfId="2">
      <alignment vertical="center"/>
    </xf>
    <xf numFmtId="0" fontId="4" fillId="11" borderId="22" applyAlignment="1" pivotButton="0" quotePrefix="0" xfId="2">
      <alignment vertical="center"/>
    </xf>
    <xf numFmtId="0" fontId="2" fillId="11" borderId="22" applyAlignment="1" pivotButton="0" quotePrefix="0" xfId="2">
      <alignment vertical="center"/>
    </xf>
    <xf numFmtId="0" fontId="2" fillId="0" borderId="77" applyAlignment="1" pivotButton="0" quotePrefix="0" xfId="2">
      <alignment vertical="center"/>
    </xf>
    <xf numFmtId="0" fontId="2" fillId="0" borderId="78" applyAlignment="1" pivotButton="0" quotePrefix="0" xfId="2">
      <alignment vertical="center"/>
    </xf>
    <xf numFmtId="0" fontId="26" fillId="0" borderId="78" applyAlignment="1" pivotButton="0" quotePrefix="0" xfId="2">
      <alignment vertical="center" wrapText="1"/>
    </xf>
    <xf numFmtId="0" fontId="4" fillId="0" borderId="78" applyAlignment="1" pivotButton="0" quotePrefix="0" xfId="2">
      <alignment vertical="center"/>
    </xf>
    <xf numFmtId="0" fontId="4" fillId="0" borderId="78" applyAlignment="1" pivotButton="0" quotePrefix="0" xfId="2">
      <alignment vertical="center" wrapText="1"/>
    </xf>
    <xf numFmtId="0" fontId="2" fillId="0" borderId="79" applyAlignment="1" pivotButton="0" quotePrefix="0" xfId="2">
      <alignment vertical="center"/>
    </xf>
    <xf numFmtId="0" fontId="2" fillId="11" borderId="31" applyAlignment="1" pivotButton="0" quotePrefix="0" xfId="2">
      <alignment vertical="center"/>
    </xf>
    <xf numFmtId="0" fontId="4" fillId="11" borderId="81" applyAlignment="1" pivotButton="0" quotePrefix="0" xfId="2">
      <alignment horizontal="center" vertical="center"/>
    </xf>
    <xf numFmtId="0" fontId="2" fillId="11" borderId="81" applyAlignment="1" pivotButton="0" quotePrefix="0" xfId="2">
      <alignment vertical="center"/>
    </xf>
    <xf numFmtId="0" fontId="3" fillId="13" borderId="69" applyAlignment="1" pivotButton="0" quotePrefix="0" xfId="2">
      <alignment horizontal="center" vertical="center" wrapText="1"/>
    </xf>
    <xf numFmtId="0" fontId="3" fillId="13" borderId="70" applyAlignment="1" pivotButton="0" quotePrefix="0" xfId="2">
      <alignment horizontal="center" vertical="center" wrapText="1"/>
    </xf>
    <xf numFmtId="0" fontId="3" fillId="13" borderId="96" applyAlignment="1" pivotButton="0" quotePrefix="0" xfId="2">
      <alignment horizontal="center" vertical="center" wrapText="1"/>
    </xf>
    <xf numFmtId="0" fontId="3" fillId="32" borderId="19" applyAlignment="1" pivotButton="0" quotePrefix="0" xfId="2">
      <alignment vertical="center"/>
    </xf>
    <xf numFmtId="0" fontId="4" fillId="13" borderId="108" applyAlignment="1" pivotButton="0" quotePrefix="0" xfId="2">
      <alignment vertical="center"/>
    </xf>
    <xf numFmtId="0" fontId="4" fillId="13" borderId="73" applyAlignment="1" pivotButton="0" quotePrefix="0" xfId="2">
      <alignment vertical="center"/>
    </xf>
    <xf numFmtId="0" fontId="4" fillId="37" borderId="73" applyAlignment="1" pivotButton="0" quotePrefix="0" xfId="2">
      <alignment horizontal="center" vertical="center"/>
    </xf>
    <xf numFmtId="0" fontId="4" fillId="37" borderId="126" applyAlignment="1" pivotButton="0" quotePrefix="0" xfId="2">
      <alignment horizontal="left" vertical="center" wrapText="1"/>
    </xf>
    <xf numFmtId="0" fontId="4" fillId="27" borderId="77" applyAlignment="1" pivotButton="0" quotePrefix="0" xfId="2">
      <alignment vertical="center" wrapText="1"/>
    </xf>
    <xf numFmtId="0" fontId="4" fillId="11" borderId="78" applyAlignment="1" pivotButton="0" quotePrefix="0" xfId="2">
      <alignment vertical="center" wrapText="1"/>
    </xf>
    <xf numFmtId="0" fontId="25" fillId="11" borderId="78" applyAlignment="1" pivotButton="0" quotePrefix="0" xfId="2">
      <alignment horizontal="center" vertical="center" wrapText="1"/>
    </xf>
    <xf numFmtId="0" fontId="25" fillId="32" borderId="78" applyAlignment="1" pivotButton="0" quotePrefix="0" xfId="2">
      <alignment horizontal="center" vertical="center" wrapText="1"/>
    </xf>
    <xf numFmtId="0" fontId="25" fillId="32" borderId="79" applyAlignment="1" pivotButton="0" quotePrefix="0" xfId="2">
      <alignment horizontal="center" vertical="center" wrapText="1"/>
    </xf>
    <xf numFmtId="0" fontId="3" fillId="13" borderId="136" applyAlignment="1" pivotButton="0" quotePrefix="0" xfId="2">
      <alignment horizontal="center" vertical="center" wrapText="1"/>
    </xf>
    <xf numFmtId="0" fontId="3" fillId="13" borderId="7" applyAlignment="1" pivotButton="0" quotePrefix="0" xfId="2">
      <alignment horizontal="center" vertical="center" wrapText="1"/>
    </xf>
    <xf numFmtId="0" fontId="4" fillId="0" borderId="31" applyAlignment="1" pivotButton="0" quotePrefix="0" xfId="2">
      <alignment horizontal="center" vertical="center"/>
    </xf>
    <xf numFmtId="0" fontId="3" fillId="13" borderId="137" applyAlignment="1" pivotButton="0" quotePrefix="0" xfId="2">
      <alignment horizontal="center" vertical="center" wrapText="1"/>
    </xf>
    <xf numFmtId="0" fontId="5" fillId="0" borderId="139" applyAlignment="1" pivotButton="0" quotePrefix="0" xfId="2">
      <alignment horizontal="center" vertical="center" wrapText="1"/>
    </xf>
    <xf numFmtId="0" fontId="5" fillId="0" borderId="140" applyAlignment="1" pivotButton="0" quotePrefix="0" xfId="2">
      <alignment horizontal="center" vertical="center" wrapText="1"/>
    </xf>
    <xf numFmtId="0" fontId="5" fillId="0" borderId="134" applyAlignment="1" pivotButton="0" quotePrefix="0" xfId="2">
      <alignment horizontal="center" vertical="center" wrapText="1"/>
    </xf>
    <xf numFmtId="0" fontId="5" fillId="0" borderId="141" applyAlignment="1" pivotButton="0" quotePrefix="0" xfId="2">
      <alignment horizontal="center" vertical="center" wrapText="1"/>
    </xf>
    <xf numFmtId="0" fontId="3" fillId="0" borderId="125" applyAlignment="1" pivotButton="0" quotePrefix="0" xfId="2">
      <alignment vertical="center"/>
    </xf>
    <xf numFmtId="0" fontId="21" fillId="0" borderId="77" applyAlignment="1" pivotButton="0" quotePrefix="0" xfId="2">
      <alignment horizontal="center" vertical="center" wrapText="1"/>
    </xf>
    <xf numFmtId="0" fontId="21" fillId="0" borderId="78" applyAlignment="1" pivotButton="0" quotePrefix="0" xfId="2">
      <alignment horizontal="center" vertical="center" wrapText="1"/>
    </xf>
    <xf numFmtId="0" fontId="2" fillId="11" borderId="78" applyAlignment="1" pivotButton="0" quotePrefix="0" xfId="2">
      <alignment horizontal="center" vertical="center"/>
    </xf>
    <xf numFmtId="0" fontId="21" fillId="0" borderId="32" applyAlignment="1" pivotButton="0" quotePrefix="0" xfId="2">
      <alignment horizontal="center" vertical="center" wrapText="1"/>
    </xf>
    <xf numFmtId="0" fontId="21" fillId="0" borderId="22" applyAlignment="1" pivotButton="0" quotePrefix="0" xfId="2">
      <alignment horizontal="center" vertical="center" wrapText="1"/>
    </xf>
    <xf numFmtId="0" fontId="2" fillId="11" borderId="22" applyAlignment="1" pivotButton="0" quotePrefix="0" xfId="2">
      <alignment horizontal="center" vertical="center"/>
    </xf>
    <xf numFmtId="0" fontId="3" fillId="0" borderId="32" applyAlignment="1" pivotButton="0" quotePrefix="0" xfId="2">
      <alignment horizontal="center" vertical="center" wrapText="1"/>
    </xf>
    <xf numFmtId="0" fontId="3" fillId="0" borderId="22" applyAlignment="1" pivotButton="0" quotePrefix="0" xfId="2">
      <alignment horizontal="center" vertical="center" wrapText="1"/>
    </xf>
    <xf numFmtId="0" fontId="3" fillId="0" borderId="80" applyAlignment="1" pivotButton="0" quotePrefix="0" xfId="2">
      <alignment horizontal="center" vertical="center" wrapText="1"/>
    </xf>
    <xf numFmtId="0" fontId="3" fillId="0" borderId="81" applyAlignment="1" pivotButton="0" quotePrefix="0" xfId="2">
      <alignment horizontal="center" vertical="center" wrapText="1"/>
    </xf>
    <xf numFmtId="0" fontId="2" fillId="0" borderId="81" applyAlignment="1" pivotButton="0" quotePrefix="0" xfId="2">
      <alignment horizontal="center" vertical="center"/>
    </xf>
    <xf numFmtId="0" fontId="2" fillId="11" borderId="81" applyAlignment="1" pivotButton="0" quotePrefix="0" xfId="2">
      <alignment horizontal="center" vertical="center"/>
    </xf>
    <xf numFmtId="0" fontId="3" fillId="13" borderId="102" applyAlignment="1" pivotButton="0" quotePrefix="0" xfId="2">
      <alignment horizontal="left" vertical="center" wrapText="1"/>
    </xf>
    <xf numFmtId="0" fontId="4" fillId="36" borderId="104" applyAlignment="1" pivotButton="0" quotePrefix="0" xfId="2">
      <alignment horizontal="center" vertical="center"/>
    </xf>
    <xf numFmtId="0" fontId="4" fillId="36" borderId="105" applyAlignment="1" pivotButton="0" quotePrefix="0" xfId="2">
      <alignment horizontal="center" vertical="center"/>
    </xf>
    <xf numFmtId="0" fontId="4" fillId="36" borderId="106" applyAlignment="1" pivotButton="0" quotePrefix="0" xfId="2">
      <alignment horizontal="center" vertical="center"/>
    </xf>
    <xf numFmtId="0" fontId="4" fillId="16" borderId="61" applyAlignment="1" pivotButton="0" quotePrefix="0" xfId="2">
      <alignment vertical="center" wrapText="1"/>
    </xf>
    <xf numFmtId="0" fontId="4" fillId="16" borderId="63" applyAlignment="1" pivotButton="0" quotePrefix="0" xfId="2">
      <alignment vertical="center" wrapText="1"/>
    </xf>
    <xf numFmtId="0" fontId="2" fillId="38" borderId="63" applyAlignment="1" pivotButton="0" quotePrefix="0" xfId="2">
      <alignment vertical="center"/>
    </xf>
    <xf numFmtId="0" fontId="2" fillId="17" borderId="23" applyAlignment="1" pivotButton="0" quotePrefix="0" xfId="2">
      <alignment vertical="center"/>
    </xf>
    <xf numFmtId="0" fontId="26" fillId="17" borderId="23" applyAlignment="1" pivotButton="0" quotePrefix="0" xfId="2">
      <alignment vertical="center" wrapText="1"/>
    </xf>
    <xf numFmtId="0" fontId="26" fillId="0" borderId="23" applyAlignment="1" pivotButton="0" quotePrefix="0" xfId="2">
      <alignment vertical="center" wrapText="1"/>
    </xf>
    <xf numFmtId="0" fontId="4" fillId="0" borderId="23" applyAlignment="1" pivotButton="0" quotePrefix="0" xfId="2">
      <alignment vertical="center" wrapText="1"/>
    </xf>
    <xf numFmtId="0" fontId="4" fillId="11" borderId="61" applyAlignment="1" pivotButton="0" quotePrefix="0" xfId="2">
      <alignment vertical="center" wrapText="1"/>
    </xf>
    <xf numFmtId="0" fontId="4" fillId="11" borderId="63" applyAlignment="1" pivotButton="0" quotePrefix="0" xfId="2">
      <alignment vertical="center" wrapText="1"/>
    </xf>
    <xf numFmtId="0" fontId="2" fillId="17" borderId="51" applyAlignment="1" pivotButton="0" quotePrefix="0" xfId="2">
      <alignment vertical="center"/>
    </xf>
    <xf numFmtId="0" fontId="3" fillId="17" borderId="51" applyAlignment="1" pivotButton="0" quotePrefix="0" xfId="2">
      <alignment vertical="center"/>
    </xf>
    <xf numFmtId="0" fontId="4" fillId="0" borderId="57" applyAlignment="1" pivotButton="0" quotePrefix="0" xfId="2">
      <alignment vertical="center"/>
    </xf>
    <xf numFmtId="0" fontId="2" fillId="11" borderId="63" applyAlignment="1" pivotButton="0" quotePrefix="0" xfId="2">
      <alignment vertical="center"/>
    </xf>
    <xf numFmtId="0" fontId="4" fillId="0" borderId="65" applyAlignment="1" pivotButton="0" quotePrefix="0" xfId="2">
      <alignment horizontal="center" vertical="center"/>
    </xf>
    <xf numFmtId="0" fontId="4" fillId="11" borderId="23" applyAlignment="1" pivotButton="0" quotePrefix="0" xfId="2">
      <alignment vertical="center"/>
    </xf>
    <xf numFmtId="0" fontId="4" fillId="11" borderId="57" applyAlignment="1" pivotButton="0" quotePrefix="0" xfId="2">
      <alignment vertical="center"/>
    </xf>
    <xf numFmtId="0" fontId="2" fillId="15" borderId="63" applyAlignment="1" pivotButton="0" quotePrefix="0" xfId="2">
      <alignment vertical="center"/>
    </xf>
    <xf numFmtId="0" fontId="2" fillId="15" borderId="55" applyAlignment="1" pivotButton="0" quotePrefix="0" xfId="2">
      <alignment vertical="center"/>
    </xf>
    <xf numFmtId="0" fontId="25" fillId="13" borderId="142" applyAlignment="1" pivotButton="0" quotePrefix="0" xfId="2">
      <alignment horizontal="center" vertical="center" wrapText="1"/>
    </xf>
    <xf numFmtId="0" fontId="25" fillId="0" borderId="48" applyAlignment="1" pivotButton="0" quotePrefix="0" xfId="2">
      <alignment horizontal="center" vertical="center" wrapText="1"/>
    </xf>
    <xf numFmtId="0" fontId="25" fillId="11" borderId="63" applyAlignment="1" pivotButton="0" quotePrefix="0" xfId="2">
      <alignment horizontal="center" vertical="center" wrapText="1"/>
    </xf>
    <xf numFmtId="0" fontId="25" fillId="32" borderId="63" applyAlignment="1" pivotButton="0" quotePrefix="0" xfId="2">
      <alignment horizontal="center" vertical="center" wrapText="1"/>
    </xf>
    <xf numFmtId="0" fontId="25" fillId="32" borderId="55" applyAlignment="1" pivotButton="0" quotePrefix="0" xfId="2">
      <alignment horizontal="center" vertical="center" wrapText="1"/>
    </xf>
    <xf numFmtId="0" fontId="4" fillId="11" borderId="55" applyAlignment="1" pivotButton="0" quotePrefix="0" xfId="2">
      <alignment vertical="center" wrapText="1"/>
    </xf>
    <xf numFmtId="0" fontId="2" fillId="19" borderId="23" applyAlignment="1" pivotButton="0" quotePrefix="0" xfId="2">
      <alignment vertical="center"/>
    </xf>
    <xf numFmtId="0" fontId="4" fillId="19" borderId="23" applyAlignment="1" pivotButton="0" quotePrefix="0" xfId="2">
      <alignment vertical="center"/>
    </xf>
    <xf numFmtId="0" fontId="2" fillId="19" borderId="22" applyAlignment="1" pivotButton="0" quotePrefix="0" xfId="2">
      <alignment vertical="center"/>
    </xf>
    <xf numFmtId="0" fontId="3" fillId="19" borderId="51" applyAlignment="1" pivotButton="0" quotePrefix="0" xfId="2">
      <alignment vertical="center"/>
    </xf>
    <xf numFmtId="0" fontId="2" fillId="19" borderId="51" applyAlignment="1" pivotButton="0" quotePrefix="0" xfId="2">
      <alignment vertical="center"/>
    </xf>
    <xf numFmtId="0" fontId="3" fillId="11" borderId="78" applyAlignment="1" pivotButton="0" quotePrefix="0" xfId="2">
      <alignment horizontal="center" vertical="center"/>
    </xf>
    <xf numFmtId="0" fontId="3" fillId="11" borderId="79" applyAlignment="1" pivotButton="0" quotePrefix="0" xfId="2">
      <alignment horizontal="center" vertical="center"/>
    </xf>
    <xf numFmtId="0" fontId="3" fillId="11" borderId="22" applyAlignment="1" pivotButton="0" quotePrefix="0" xfId="2">
      <alignment horizontal="center" vertical="center"/>
    </xf>
    <xf numFmtId="0" fontId="3" fillId="11" borderId="31" applyAlignment="1" pivotButton="0" quotePrefix="0" xfId="2">
      <alignment horizontal="center" vertical="center"/>
    </xf>
    <xf numFmtId="0" fontId="2" fillId="11" borderId="31" applyAlignment="1" pivotButton="0" quotePrefix="0" xfId="2">
      <alignment horizontal="center" vertical="center"/>
    </xf>
    <xf numFmtId="0" fontId="2" fillId="0" borderId="103" applyAlignment="1" pivotButton="0" quotePrefix="0" xfId="2">
      <alignment horizontal="center" vertical="center"/>
    </xf>
    <xf numFmtId="0" fontId="2" fillId="11" borderId="138" applyAlignment="1" pivotButton="0" quotePrefix="0" xfId="2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pivotButton="0" quotePrefix="1" xfId="0"/>
    <xf numFmtId="0" fontId="1" fillId="0" borderId="0" pivotButton="0" quotePrefix="0" xfId="0"/>
    <xf numFmtId="0" fontId="1" fillId="0" borderId="19" pivotButton="0" quotePrefix="0" xfId="0"/>
    <xf numFmtId="0" fontId="1" fillId="11" borderId="81" applyAlignment="1" pivotButton="0" quotePrefix="0" xfId="2">
      <alignment vertical="center"/>
    </xf>
    <xf numFmtId="0" fontId="1" fillId="26" borderId="82" pivotButton="0" quotePrefix="0" xfId="0"/>
    <xf numFmtId="0" fontId="1" fillId="0" borderId="82" pivotButton="0" quotePrefix="0" xfId="0"/>
    <xf numFmtId="166" fontId="4" fillId="7" borderId="48" applyAlignment="1" pivotButton="0" quotePrefix="0" xfId="0">
      <alignment horizontal="center"/>
    </xf>
    <xf numFmtId="166" fontId="4" fillId="7" borderId="49" applyAlignment="1" pivotButton="0" quotePrefix="0" xfId="0">
      <alignment horizontal="center"/>
    </xf>
    <xf numFmtId="166" fontId="4" fillId="7" borderId="50" applyAlignment="1" pivotButton="0" quotePrefix="0" xfId="0">
      <alignment horizontal="center"/>
    </xf>
    <xf numFmtId="0" fontId="11" fillId="12" borderId="62" applyAlignment="1" pivotButton="0" quotePrefix="0" xfId="0">
      <alignment horizontal="center"/>
    </xf>
    <xf numFmtId="0" fontId="11" fillId="12" borderId="49" applyAlignment="1" pivotButton="0" quotePrefix="0" xfId="0">
      <alignment horizontal="center"/>
    </xf>
    <xf numFmtId="0" fontId="11" fillId="12" borderId="50" applyAlignment="1" pivotButton="0" quotePrefix="0" xfId="0">
      <alignment horizontal="center"/>
    </xf>
    <xf numFmtId="0" fontId="15" fillId="9" borderId="25" applyAlignment="1" pivotButton="0" quotePrefix="0" xfId="0">
      <alignment horizontal="center" vertical="center"/>
    </xf>
    <xf numFmtId="0" fontId="15" fillId="9" borderId="30" applyAlignment="1" pivotButton="0" quotePrefix="0" xfId="0">
      <alignment horizontal="center" vertical="center"/>
    </xf>
    <xf numFmtId="0" fontId="15" fillId="9" borderId="29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4" fillId="23" borderId="143" applyAlignment="1" pivotButton="0" quotePrefix="0" xfId="2">
      <alignment horizontal="center" vertical="center"/>
    </xf>
    <xf numFmtId="0" fontId="4" fillId="23" borderId="144" applyAlignment="1" pivotButton="0" quotePrefix="0" xfId="2">
      <alignment horizontal="center" vertical="center"/>
    </xf>
    <xf numFmtId="0" fontId="1" fillId="23" borderId="122" applyAlignment="1" pivotButton="0" quotePrefix="0" xfId="2">
      <alignment horizontal="center" vertical="center"/>
    </xf>
    <xf numFmtId="0" fontId="1" fillId="23" borderId="128" applyAlignment="1" pivotButton="0" quotePrefix="0" xfId="2">
      <alignment horizontal="center" vertical="center"/>
    </xf>
    <xf numFmtId="0" fontId="1" fillId="23" borderId="129" applyAlignment="1" pivotButton="0" quotePrefix="0" xfId="2">
      <alignment horizontal="center" vertical="center"/>
    </xf>
    <xf numFmtId="0" fontId="7" fillId="13" borderId="61" applyAlignment="1" pivotButton="0" quotePrefix="0" xfId="2">
      <alignment horizontal="center" vertical="center"/>
    </xf>
    <xf numFmtId="0" fontId="7" fillId="13" borderId="63" applyAlignment="1" pivotButton="0" quotePrefix="0" xfId="2">
      <alignment horizontal="center" vertical="center"/>
    </xf>
    <xf numFmtId="0" fontId="7" fillId="13" borderId="55" applyAlignment="1" pivotButton="0" quotePrefix="0" xfId="2">
      <alignment horizontal="center" vertical="center"/>
    </xf>
    <xf numFmtId="0" fontId="5" fillId="0" borderId="126" applyAlignment="1" pivotButton="0" quotePrefix="0" xfId="2">
      <alignment horizontal="center" vertical="center"/>
    </xf>
    <xf numFmtId="0" fontId="5" fillId="0" borderId="134" applyAlignment="1" pivotButton="0" quotePrefix="0" xfId="2">
      <alignment horizontal="center" vertical="center"/>
    </xf>
    <xf numFmtId="0" fontId="5" fillId="0" borderId="135" applyAlignment="1" pivotButton="0" quotePrefix="0" xfId="2">
      <alignment horizontal="center" vertical="center"/>
    </xf>
    <xf numFmtId="0" fontId="5" fillId="0" borderId="73" applyAlignment="1" pivotButton="0" quotePrefix="0" xfId="2">
      <alignment horizontal="center" vertical="center"/>
    </xf>
    <xf numFmtId="0" fontId="5" fillId="0" borderId="127" applyAlignment="1" pivotButton="0" quotePrefix="0" xfId="2">
      <alignment horizontal="center" vertical="center"/>
    </xf>
    <xf numFmtId="0" fontId="35" fillId="0" borderId="9" applyAlignment="1" pivotButton="0" quotePrefix="0" xfId="2">
      <alignment horizontal="left" vertical="center" wrapText="1" indent="1"/>
    </xf>
    <xf numFmtId="0" fontId="35" fillId="0" borderId="10" applyAlignment="1" pivotButton="0" quotePrefix="0" xfId="2">
      <alignment horizontal="left" vertical="center" wrapText="1" indent="1"/>
    </xf>
    <xf numFmtId="0" fontId="35" fillId="0" borderId="39" applyAlignment="1" pivotButton="0" quotePrefix="0" xfId="2">
      <alignment horizontal="left" vertical="center" wrapText="1" indent="1"/>
    </xf>
    <xf numFmtId="0" fontId="6" fillId="6" borderId="19" applyAlignment="1" pivotButton="0" quotePrefix="0" xfId="2">
      <alignment horizontal="left" vertical="center" wrapText="1"/>
    </xf>
    <xf numFmtId="0" fontId="35" fillId="0" borderId="12" applyAlignment="1" pivotButton="0" quotePrefix="0" xfId="2">
      <alignment horizontal="left" vertical="center" wrapText="1" indent="1"/>
    </xf>
    <xf numFmtId="0" fontId="35" fillId="0" borderId="13" applyAlignment="1" pivotButton="0" quotePrefix="0" xfId="2">
      <alignment horizontal="left" vertical="center" wrapText="1" indent="1"/>
    </xf>
    <xf numFmtId="0" fontId="35" fillId="0" borderId="123" applyAlignment="1" pivotButton="0" quotePrefix="0" xfId="2">
      <alignment horizontal="left" vertical="center" wrapText="1" indent="1"/>
    </xf>
    <xf numFmtId="0" fontId="7" fillId="31" borderId="36" applyAlignment="1" pivotButton="0" quotePrefix="0" xfId="2">
      <alignment horizontal="left" vertical="center" wrapText="1"/>
    </xf>
    <xf numFmtId="0" fontId="7" fillId="31" borderId="33" applyAlignment="1" pivotButton="0" quotePrefix="0" xfId="2">
      <alignment horizontal="left" vertical="center" wrapText="1"/>
    </xf>
    <xf numFmtId="0" fontId="7" fillId="31" borderId="68" applyAlignment="1" pivotButton="0" quotePrefix="0" xfId="2">
      <alignment horizontal="left" vertical="center" wrapText="1"/>
    </xf>
    <xf numFmtId="0" fontId="35" fillId="0" borderId="116" applyAlignment="1" pivotButton="0" quotePrefix="0" xfId="2">
      <alignment horizontal="left" vertical="center" wrapText="1" indent="1"/>
    </xf>
    <xf numFmtId="0" fontId="35" fillId="0" borderId="117" applyAlignment="1" pivotButton="0" quotePrefix="0" xfId="2">
      <alignment horizontal="left" vertical="center" wrapText="1" indent="1"/>
    </xf>
    <xf numFmtId="0" fontId="35" fillId="0" borderId="118" applyAlignment="1" pivotButton="0" quotePrefix="0" xfId="2">
      <alignment horizontal="left" vertical="center" wrapText="1" indent="1"/>
    </xf>
    <xf numFmtId="0" fontId="5" fillId="36" borderId="133" applyAlignment="1" pivotButton="0" quotePrefix="0" xfId="2">
      <alignment horizontal="center" vertical="center"/>
    </xf>
    <xf numFmtId="0" fontId="24" fillId="36" borderId="63" applyAlignment="1" pivotButton="0" quotePrefix="0" xfId="2">
      <alignment horizontal="center" vertical="center"/>
    </xf>
    <xf numFmtId="0" fontId="24" fillId="36" borderId="55" applyAlignment="1" pivotButton="0" quotePrefix="0" xfId="2">
      <alignment horizontal="center" vertical="center"/>
    </xf>
    <xf numFmtId="0" fontId="5" fillId="0" borderId="130" applyAlignment="1" pivotButton="0" quotePrefix="0" xfId="2">
      <alignment horizontal="center" vertical="center"/>
    </xf>
    <xf numFmtId="0" fontId="5" fillId="0" borderId="132" applyAlignment="1" pivotButton="0" quotePrefix="0" xfId="2">
      <alignment horizontal="center" vertical="center"/>
    </xf>
    <xf numFmtId="0" fontId="4" fillId="23" borderId="25" applyAlignment="1" pivotButton="0" quotePrefix="0" xfId="2">
      <alignment horizontal="center" vertical="center"/>
    </xf>
    <xf numFmtId="0" fontId="4" fillId="23" borderId="30" applyAlignment="1" pivotButton="0" quotePrefix="0" xfId="2">
      <alignment horizontal="center" vertical="center"/>
    </xf>
    <xf numFmtId="0" fontId="4" fillId="23" borderId="29" applyAlignment="1" pivotButton="0" quotePrefix="0" xfId="2">
      <alignment horizontal="center" vertical="center"/>
    </xf>
    <xf numFmtId="0" fontId="5" fillId="0" borderId="131" applyAlignment="1" pivotButton="0" quotePrefix="0" xfId="2">
      <alignment horizontal="center" vertical="center"/>
    </xf>
    <xf numFmtId="0" fontId="5" fillId="33" borderId="61" applyAlignment="1" pivotButton="0" quotePrefix="0" xfId="2">
      <alignment horizontal="center" vertical="center"/>
    </xf>
    <xf numFmtId="0" fontId="24" fillId="33" borderId="63" applyAlignment="1" pivotButton="0" quotePrefix="0" xfId="2">
      <alignment horizontal="center" vertical="center"/>
    </xf>
    <xf numFmtId="0" fontId="24" fillId="33" borderId="55" applyAlignment="1" pivotButton="0" quotePrefix="0" xfId="2">
      <alignment horizontal="center" vertical="center"/>
    </xf>
    <xf numFmtId="0" fontId="5" fillId="34" borderId="63" applyAlignment="1" pivotButton="0" quotePrefix="0" xfId="2">
      <alignment horizontal="center" vertical="center"/>
    </xf>
    <xf numFmtId="0" fontId="24" fillId="34" borderId="63" applyAlignment="1" pivotButton="0" quotePrefix="0" xfId="2">
      <alignment horizontal="center" vertical="center"/>
    </xf>
    <xf numFmtId="0" fontId="24" fillId="34" borderId="109" applyAlignment="1" pivotButton="0" quotePrefix="0" xfId="2">
      <alignment horizontal="center" vertical="center"/>
    </xf>
    <xf numFmtId="0" fontId="5" fillId="17" borderId="133" applyAlignment="1" pivotButton="0" quotePrefix="0" xfId="2">
      <alignment horizontal="center" vertical="center"/>
    </xf>
    <xf numFmtId="0" fontId="24" fillId="17" borderId="63" applyAlignment="1" pivotButton="0" quotePrefix="0" xfId="2">
      <alignment horizontal="center" vertical="center"/>
    </xf>
    <xf numFmtId="0" fontId="24" fillId="17" borderId="109" applyAlignment="1" pivotButton="0" quotePrefix="0" xfId="2">
      <alignment horizontal="center" vertical="center"/>
    </xf>
    <xf numFmtId="0" fontId="5" fillId="35" borderId="133" applyAlignment="1" pivotButton="0" quotePrefix="0" xfId="2">
      <alignment horizontal="center" vertical="center"/>
    </xf>
    <xf numFmtId="0" fontId="24" fillId="35" borderId="63" applyAlignment="1" pivotButton="0" quotePrefix="0" xfId="2">
      <alignment horizontal="center" vertical="center"/>
    </xf>
    <xf numFmtId="0" fontId="24" fillId="35" borderId="109" applyAlignment="1" pivotButton="0" quotePrefix="0" xfId="2">
      <alignment horizontal="center" vertical="center"/>
    </xf>
    <xf numFmtId="0" fontId="5" fillId="0" borderId="19" applyAlignment="1" pivotButton="0" quotePrefix="0" xfId="2">
      <alignment horizontal="center" vertical="center"/>
    </xf>
    <xf numFmtId="0" fontId="4" fillId="0" borderId="25" applyAlignment="1" pivotButton="0" quotePrefix="0" xfId="0">
      <alignment horizontal="left" vertical="center" wrapText="1"/>
    </xf>
    <xf numFmtId="0" fontId="4" fillId="0" borderId="29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4" fillId="0" borderId="26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15" fillId="9" borderId="11" applyAlignment="1" pivotButton="0" quotePrefix="0" xfId="0">
      <alignment horizontal="left" vertical="center"/>
    </xf>
    <xf numFmtId="0" fontId="15" fillId="9" borderId="27" applyAlignment="1" pivotButton="0" quotePrefix="0" xfId="0">
      <alignment horizontal="left" vertical="center"/>
    </xf>
    <xf numFmtId="0" fontId="15" fillId="9" borderId="20" applyAlignment="1" pivotButton="0" quotePrefix="0" xfId="0">
      <alignment horizontal="left" vertical="center"/>
    </xf>
    <xf numFmtId="0" fontId="18" fillId="5" borderId="11" applyAlignment="1" pivotButton="0" quotePrefix="0" xfId="0">
      <alignment horizontal="left" vertical="center"/>
    </xf>
    <xf numFmtId="0" fontId="18" fillId="5" borderId="27" applyAlignment="1" pivotButton="0" quotePrefix="0" xfId="0">
      <alignment horizontal="left" vertical="center"/>
    </xf>
    <xf numFmtId="0" fontId="18" fillId="5" borderId="20" applyAlignment="1" pivotButton="0" quotePrefix="0" xfId="0">
      <alignment horizontal="left" vertical="center"/>
    </xf>
    <xf numFmtId="0" fontId="16" fillId="5" borderId="11" applyAlignment="1" pivotButton="0" quotePrefix="0" xfId="0">
      <alignment horizontal="left" vertical="center"/>
    </xf>
    <xf numFmtId="0" fontId="16" fillId="5" borderId="27" applyAlignment="1" pivotButton="0" quotePrefix="0" xfId="0">
      <alignment horizontal="left" vertical="center"/>
    </xf>
    <xf numFmtId="0" fontId="16" fillId="5" borderId="20" applyAlignment="1" pivotButton="0" quotePrefix="0" xfId="0">
      <alignment horizontal="left" vertical="center"/>
    </xf>
    <xf numFmtId="0" fontId="16" fillId="5" borderId="10" applyAlignment="1" pivotButton="0" quotePrefix="0" xfId="0">
      <alignment horizontal="left" vertical="center"/>
    </xf>
    <xf numFmtId="0" fontId="18" fillId="5" borderId="7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6" fillId="9" borderId="11" applyAlignment="1" pivotButton="0" quotePrefix="0" xfId="0">
      <alignment horizontal="left" vertical="center"/>
    </xf>
    <xf numFmtId="0" fontId="16" fillId="9" borderId="27" applyAlignment="1" pivotButton="0" quotePrefix="0" xfId="0">
      <alignment horizontal="left" vertical="center"/>
    </xf>
    <xf numFmtId="0" fontId="16" fillId="9" borderId="20" applyAlignment="1" pivotButton="0" quotePrefix="0" xfId="0">
      <alignment horizontal="left" vertical="center"/>
    </xf>
    <xf numFmtId="0" fontId="0" fillId="0" borderId="126" pivotButton="0" quotePrefix="0" xfId="0"/>
    <xf numFmtId="0" fontId="0" fillId="0" borderId="62" pivotButton="0" quotePrefix="0" xfId="0"/>
    <xf numFmtId="166" fontId="4" fillId="7" borderId="48" applyAlignment="1" pivotButton="0" quotePrefix="0" xfId="0">
      <alignment horizontal="center"/>
    </xf>
    <xf numFmtId="167" fontId="4" fillId="28" borderId="19" applyAlignment="1" pivotButton="0" quotePrefix="0" xfId="1">
      <alignment vertical="center" wrapText="1"/>
    </xf>
    <xf numFmtId="167" fontId="3" fillId="28" borderId="113" applyAlignment="1" pivotButton="0" quotePrefix="0" xfId="1">
      <alignment vertical="center" wrapText="1"/>
    </xf>
    <xf numFmtId="167" fontId="3" fillId="28" borderId="59" applyAlignment="1" pivotButton="0" quotePrefix="0" xfId="1">
      <alignment vertical="center" wrapText="1"/>
    </xf>
    <xf numFmtId="167" fontId="6" fillId="28" borderId="59" applyAlignment="1" pivotButton="0" quotePrefix="0" xfId="1">
      <alignment vertical="center" wrapText="1"/>
    </xf>
    <xf numFmtId="167" fontId="6" fillId="28" borderId="60" applyAlignment="1" pivotButton="0" quotePrefix="0" xfId="1">
      <alignment vertical="center" wrapText="1"/>
    </xf>
    <xf numFmtId="167" fontId="4" fillId="19" borderId="63" applyAlignment="1" pivotButton="0" quotePrefix="0" xfId="1">
      <alignment vertical="center" wrapText="1"/>
    </xf>
    <xf numFmtId="167" fontId="3" fillId="19" borderId="113" applyAlignment="1" pivotButton="0" quotePrefix="0" xfId="1">
      <alignment vertical="center" wrapText="1"/>
    </xf>
    <xf numFmtId="167" fontId="3" fillId="19" borderId="59" applyAlignment="1" pivotButton="0" quotePrefix="0" xfId="1">
      <alignment vertical="center" wrapText="1"/>
    </xf>
    <xf numFmtId="167" fontId="3" fillId="19" borderId="60" applyAlignment="1" pivotButton="0" quotePrefix="0" xfId="1">
      <alignment vertical="center" wrapText="1"/>
    </xf>
    <xf numFmtId="167" fontId="4" fillId="12" borderId="56" applyAlignment="1" pivotButton="0" quotePrefix="0" xfId="1">
      <alignment vertical="center" wrapText="1"/>
    </xf>
    <xf numFmtId="167" fontId="3" fillId="12" borderId="28" applyAlignment="1" pivotButton="0" quotePrefix="0" xfId="1">
      <alignment vertical="center" wrapText="1"/>
    </xf>
    <xf numFmtId="167" fontId="3" fillId="12" borderId="23" applyAlignment="1" pivotButton="0" quotePrefix="0" xfId="1">
      <alignment vertical="center" wrapText="1"/>
    </xf>
    <xf numFmtId="167" fontId="6" fillId="12" borderId="23" applyAlignment="1" pivotButton="0" quotePrefix="0" xfId="1">
      <alignment vertical="center" wrapText="1"/>
    </xf>
    <xf numFmtId="167" fontId="6" fillId="12" borderId="57" applyAlignment="1" pivotButton="0" quotePrefix="0" xfId="1">
      <alignment vertical="center" wrapText="1"/>
    </xf>
    <xf numFmtId="167" fontId="4" fillId="7" borderId="72" applyAlignment="1" pivotButton="0" quotePrefix="0" xfId="1">
      <alignment vertical="center" wrapText="1"/>
    </xf>
    <xf numFmtId="167" fontId="3" fillId="7" borderId="58" applyAlignment="1" pivotButton="0" quotePrefix="0" xfId="1">
      <alignment vertical="center" wrapText="1"/>
    </xf>
    <xf numFmtId="167" fontId="3" fillId="7" borderId="23" applyAlignment="1" pivotButton="0" quotePrefix="0" xfId="1">
      <alignment vertical="center" wrapText="1"/>
    </xf>
    <xf numFmtId="167" fontId="3" fillId="7" borderId="57" applyAlignment="1" pivotButton="0" quotePrefix="0" xfId="1">
      <alignment vertical="center" wrapText="1"/>
    </xf>
    <xf numFmtId="166" fontId="3" fillId="11" borderId="19" pivotButton="0" quotePrefix="0" xfId="0"/>
    <xf numFmtId="169" fontId="37" fillId="28" borderId="103" applyAlignment="1" pivotButton="0" quotePrefix="0" xfId="0">
      <alignment vertical="center"/>
    </xf>
    <xf numFmtId="169" fontId="37" fillId="28" borderId="104" applyAlignment="1" pivotButton="0" quotePrefix="0" xfId="0">
      <alignment vertical="center"/>
    </xf>
    <xf numFmtId="169" fontId="37" fillId="28" borderId="105" applyAlignment="1" pivotButton="0" quotePrefix="0" xfId="0">
      <alignment vertical="center"/>
    </xf>
    <xf numFmtId="169" fontId="37" fillId="28" borderId="106" applyAlignment="1" pivotButton="0" quotePrefix="0" xfId="0">
      <alignment vertical="center"/>
    </xf>
    <xf numFmtId="167" fontId="37" fillId="29" borderId="54" applyAlignment="1" pivotButton="0" quotePrefix="0" xfId="0">
      <alignment vertical="center"/>
    </xf>
    <xf numFmtId="167" fontId="37" fillId="29" borderId="104" applyAlignment="1" pivotButton="0" quotePrefix="0" xfId="0">
      <alignment vertical="center"/>
    </xf>
    <xf numFmtId="167" fontId="37" fillId="29" borderId="105" applyAlignment="1" pivotButton="0" quotePrefix="0" xfId="0">
      <alignment vertical="center"/>
    </xf>
    <xf numFmtId="167" fontId="37" fillId="29" borderId="106" applyAlignment="1" pivotButton="0" quotePrefix="0" xfId="0">
      <alignment vertical="center"/>
    </xf>
    <xf numFmtId="168" fontId="17" fillId="0" borderId="0" pivotButton="0" quotePrefix="0" xfId="0"/>
    <xf numFmtId="168" fontId="17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 wrapText="1"/>
    </xf>
    <xf numFmtId="0" fontId="28" fillId="3" borderId="19" applyAlignment="1" pivotButton="0" quotePrefix="0" xfId="0">
      <alignment horizontal="center" vertical="center"/>
    </xf>
    <xf numFmtId="168" fontId="28" fillId="3" borderId="19" applyAlignment="1" pivotButton="0" quotePrefix="0" xfId="0">
      <alignment vertical="center"/>
    </xf>
    <xf numFmtId="166" fontId="28" fillId="3" borderId="19" applyAlignment="1" pivotButton="0" quotePrefix="0" xfId="0">
      <alignment vertical="center"/>
    </xf>
    <xf numFmtId="41" fontId="14" fillId="8" borderId="22" applyAlignment="1" pivotButton="0" quotePrefix="0" xfId="0">
      <alignment vertical="center" wrapText="1"/>
    </xf>
    <xf numFmtId="168" fontId="14" fillId="8" borderId="22" applyAlignment="1" pivotButton="0" quotePrefix="0" xfId="0">
      <alignment horizontal="center" vertical="center" wrapText="1"/>
    </xf>
    <xf numFmtId="41" fontId="14" fillId="8" borderId="22" applyAlignment="1" pivotButton="0" quotePrefix="0" xfId="0">
      <alignment horizontal="center" vertical="center" wrapText="1"/>
    </xf>
    <xf numFmtId="167" fontId="16" fillId="4" borderId="22" applyAlignment="1" pivotButton="0" quotePrefix="0" xfId="0">
      <alignment vertical="center" wrapText="1"/>
    </xf>
    <xf numFmtId="167" fontId="17" fillId="11" borderId="22" applyAlignment="1" pivotButton="0" quotePrefix="0" xfId="0">
      <alignment vertical="center" wrapText="1"/>
    </xf>
    <xf numFmtId="167" fontId="16" fillId="21" borderId="21" applyAlignment="1" pivotButton="0" quotePrefix="0" xfId="0">
      <alignment vertical="center"/>
    </xf>
    <xf numFmtId="167" fontId="16" fillId="19" borderId="21" applyAlignment="1" pivotButton="0" quotePrefix="0" xfId="0">
      <alignment vertical="center"/>
    </xf>
    <xf numFmtId="167" fontId="16" fillId="24" borderId="29" applyAlignment="1" pivotButton="0" quotePrefix="0" xfId="0">
      <alignment vertical="center"/>
    </xf>
    <xf numFmtId="167" fontId="16" fillId="24" borderId="22" applyAlignment="1" pivotButton="0" quotePrefix="0" xfId="0">
      <alignment vertical="center"/>
    </xf>
    <xf numFmtId="167" fontId="17" fillId="6" borderId="22" applyAlignment="1" pivotButton="0" quotePrefix="0" xfId="0">
      <alignment vertical="center" wrapText="1"/>
    </xf>
    <xf numFmtId="167" fontId="17" fillId="0" borderId="22" applyAlignment="1" pivotButton="0" quotePrefix="0" xfId="0">
      <alignment vertical="center" wrapText="1"/>
    </xf>
    <xf numFmtId="0" fontId="3" fillId="0" borderId="154" applyAlignment="1" pivotButton="0" quotePrefix="0" xfId="2">
      <alignment vertical="center"/>
    </xf>
    <xf numFmtId="0" fontId="41" fillId="0" borderId="154" applyAlignment="1" pivotButton="0" quotePrefix="0" xfId="2">
      <alignment vertical="center"/>
    </xf>
    <xf numFmtId="0" fontId="4" fillId="0" borderId="154" applyAlignment="1" pivotButton="0" quotePrefix="0" xfId="2">
      <alignment vertical="top"/>
    </xf>
    <xf numFmtId="0" fontId="4" fillId="0" borderId="154" applyAlignment="1" pivotButton="0" quotePrefix="0" xfId="2">
      <alignment vertical="center"/>
    </xf>
    <xf numFmtId="0" fontId="2" fillId="0" borderId="154" applyAlignment="1" pivotButton="0" quotePrefix="0" xfId="2">
      <alignment vertical="center"/>
    </xf>
    <xf numFmtId="0" fontId="0" fillId="0" borderId="154" pivotButton="0" quotePrefix="0" xfId="0"/>
    <xf numFmtId="0" fontId="3" fillId="0" borderId="154" applyAlignment="1" pivotButton="0" quotePrefix="0" xfId="2">
      <alignment horizontal="center" vertical="center"/>
    </xf>
    <xf numFmtId="0" fontId="2" fillId="0" borderId="154" applyAlignment="1" pivotButton="0" quotePrefix="0" xfId="2">
      <alignment horizontal="center" vertical="center"/>
    </xf>
    <xf numFmtId="0" fontId="42" fillId="39" borderId="155" applyAlignment="1" pivotButton="0" quotePrefix="0" xfId="2">
      <alignment horizontal="center" vertical="center"/>
    </xf>
    <xf numFmtId="0" fontId="0" fillId="39" borderId="155" pivotButton="0" quotePrefix="0" xfId="0"/>
    <xf numFmtId="0" fontId="5" fillId="0" borderId="154" applyAlignment="1" pivotButton="0" quotePrefix="0" xfId="2">
      <alignment horizontal="center" vertical="center"/>
    </xf>
    <xf numFmtId="0" fontId="7" fillId="0" borderId="154" applyAlignment="1" pivotButton="0" quotePrefix="0" xfId="2">
      <alignment horizontal="center" vertical="center"/>
    </xf>
    <xf numFmtId="0" fontId="42" fillId="40" borderId="156" applyAlignment="1" pivotButton="0" quotePrefix="0" xfId="2">
      <alignment horizontal="center" vertical="center"/>
    </xf>
    <xf numFmtId="0" fontId="0" fillId="40" borderId="156" pivotButton="0" quotePrefix="0" xfId="0"/>
    <xf numFmtId="0" fontId="43" fillId="41" borderId="156" applyAlignment="1" pivotButton="0" quotePrefix="0" xfId="2">
      <alignment horizontal="center" vertical="center"/>
    </xf>
    <xf numFmtId="0" fontId="25" fillId="0" borderId="154" applyAlignment="1" pivotButton="0" quotePrefix="0" xfId="2">
      <alignment horizontal="center" vertical="center" wrapText="1"/>
    </xf>
    <xf numFmtId="0" fontId="4" fillId="0" borderId="156" applyAlignment="1" pivotButton="0" quotePrefix="0" xfId="2">
      <alignment horizontal="center" vertical="center"/>
    </xf>
    <xf numFmtId="0" fontId="4" fillId="0" borderId="156" applyAlignment="1" pivotButton="0" quotePrefix="0" xfId="2">
      <alignment horizontal="left" vertical="center" wrapText="1"/>
    </xf>
    <xf numFmtId="0" fontId="3" fillId="0" borderId="156" applyAlignment="1" pivotButton="0" quotePrefix="0" xfId="2">
      <alignment horizontal="center" vertical="center" wrapText="1"/>
    </xf>
    <xf numFmtId="0" fontId="4" fillId="42" borderId="156" applyAlignment="1" pivotButton="0" quotePrefix="0" xfId="2">
      <alignment vertical="center" wrapText="1"/>
    </xf>
    <xf numFmtId="0" fontId="4" fillId="0" borderId="154" applyAlignment="1" pivotButton="0" quotePrefix="0" xfId="2">
      <alignment vertical="center" wrapText="1"/>
    </xf>
    <xf numFmtId="0" fontId="33" fillId="0" borderId="156" applyAlignment="1" pivotButton="0" quotePrefix="0" xfId="0">
      <alignment horizontal="left" vertical="center" wrapText="1"/>
    </xf>
    <xf numFmtId="0" fontId="33" fillId="0" borderId="156" applyAlignment="1" pivotButton="0" quotePrefix="0" xfId="0">
      <alignment vertical="center"/>
    </xf>
    <xf numFmtId="0" fontId="4" fillId="0" borderId="156" applyAlignment="1" pivotButton="0" quotePrefix="0" xfId="0">
      <alignment horizontal="left" vertical="center" wrapText="1"/>
    </xf>
    <xf numFmtId="0" fontId="4" fillId="0" borderId="156" applyAlignment="1" pivotButton="0" quotePrefix="0" xfId="0">
      <alignment horizontal="left" vertical="center" indent="1"/>
    </xf>
    <xf numFmtId="0" fontId="26" fillId="42" borderId="156" applyAlignment="1" pivotButton="0" quotePrefix="0" xfId="2">
      <alignment vertical="center" wrapText="1"/>
    </xf>
    <xf numFmtId="0" fontId="2" fillId="42" borderId="156" applyAlignment="1" pivotButton="0" quotePrefix="0" xfId="2">
      <alignment vertical="center"/>
    </xf>
    <xf numFmtId="0" fontId="26" fillId="0" borderId="154" applyAlignment="1" pivotButton="0" quotePrefix="0" xfId="2">
      <alignment vertical="center" wrapText="1"/>
    </xf>
    <xf numFmtId="0" fontId="4" fillId="42" borderId="156" applyAlignment="1" pivotButton="0" quotePrefix="0" xfId="2">
      <alignment vertical="center"/>
    </xf>
    <xf numFmtId="0" fontId="4" fillId="0" borderId="154" applyAlignment="1" pivotButton="0" quotePrefix="0" xfId="2">
      <alignment horizontal="center" vertical="center"/>
    </xf>
    <xf numFmtId="0" fontId="4" fillId="0" borderId="154" applyAlignment="1" pivotButton="0" quotePrefix="0" xfId="0">
      <alignment horizontal="left" vertical="center" wrapText="1"/>
    </xf>
    <xf numFmtId="0" fontId="4" fillId="0" borderId="154" applyAlignment="1" pivotButton="0" quotePrefix="0" xfId="0">
      <alignment horizontal="left" vertical="center" indent="1"/>
    </xf>
    <xf numFmtId="0" fontId="3" fillId="0" borderId="154" applyAlignment="1" pivotButton="0" quotePrefix="0" xfId="2">
      <alignment horizontal="center" vertical="center" wrapText="1"/>
    </xf>
    <xf numFmtId="0" fontId="42" fillId="0" borderId="154" applyAlignment="1" pivotButton="0" quotePrefix="0" xfId="0">
      <alignment horizontal="left" vertical="center" indent="1"/>
    </xf>
    <xf numFmtId="0" fontId="1" fillId="0" borderId="154" applyAlignment="1" pivotButton="0" quotePrefix="0" xfId="2">
      <alignment vertical="center"/>
    </xf>
    <xf numFmtId="0" fontId="1" fillId="0" borderId="154" applyAlignment="1" pivotButton="0" quotePrefix="0" xfId="2">
      <alignment horizontal="center" vertical="center"/>
    </xf>
    <xf numFmtId="0" fontId="7" fillId="0" borderId="154" applyAlignment="1" pivotButton="0" quotePrefix="0" xfId="2">
      <alignment horizontal="left" vertical="center" wrapText="1"/>
    </xf>
    <xf numFmtId="0" fontId="5" fillId="0" borderId="154" applyAlignment="1" pivotButton="0" quotePrefix="0" xfId="2">
      <alignment horizontal="center" vertical="center" wrapText="1"/>
    </xf>
    <xf numFmtId="0" fontId="35" fillId="0" borderId="154" applyAlignment="1" pivotButton="0" quotePrefix="0" xfId="2">
      <alignment horizontal="left" vertical="center" wrapText="1" indent="1"/>
    </xf>
    <xf numFmtId="0" fontId="21" fillId="0" borderId="154" applyAlignment="1" pivotButton="0" quotePrefix="0" xfId="2">
      <alignment horizontal="center" vertical="center" wrapText="1"/>
    </xf>
    <xf numFmtId="0" fontId="43" fillId="41" borderId="156" applyAlignment="1" pivotButton="0" quotePrefix="0" xfId="2">
      <alignment horizontal="left" vertical="center" wrapText="1" indent="1"/>
    </xf>
    <xf numFmtId="0" fontId="43" fillId="41" borderId="156" applyAlignment="1" pivotButton="0" quotePrefix="0" xfId="2">
      <alignment horizontal="center" vertical="center" wrapText="1"/>
    </xf>
    <xf numFmtId="0" fontId="0" fillId="0" borderId="159" pivotButton="0" quotePrefix="0" xfId="0"/>
    <xf numFmtId="0" fontId="0" fillId="0" borderId="160" pivotButton="0" quotePrefix="0" xfId="0"/>
    <xf numFmtId="0" fontId="3" fillId="0" borderId="156" applyAlignment="1" pivotButton="0" quotePrefix="0" xfId="2">
      <alignment vertical="center"/>
    </xf>
    <xf numFmtId="0" fontId="3" fillId="0" borderId="156" applyAlignment="1" pivotButton="0" quotePrefix="0" xfId="2">
      <alignment horizontal="left" vertical="center" wrapText="1"/>
    </xf>
    <xf numFmtId="0" fontId="0" fillId="0" borderId="156" pivotButton="0" quotePrefix="0" xfId="0"/>
    <xf numFmtId="0" fontId="6" fillId="0" borderId="156" applyAlignment="1" pivotButton="0" quotePrefix="0" xfId="2">
      <alignment horizontal="left" vertical="center" wrapText="1"/>
    </xf>
    <xf numFmtId="9" fontId="27" fillId="0" borderId="154" applyAlignment="1" pivotButton="0" quotePrefix="0" xfId="2">
      <alignment horizontal="right" vertical="center"/>
    </xf>
    <xf numFmtId="0" fontId="7" fillId="0" borderId="156" applyAlignment="1" pivotButton="0" quotePrefix="0" xfId="2">
      <alignment horizontal="left" vertical="center" wrapText="1"/>
    </xf>
    <xf numFmtId="0" fontId="7" fillId="0" borderId="156" applyAlignment="1" pivotButton="0" quotePrefix="0" xfId="2">
      <alignment horizontal="center" vertical="center" wrapText="1"/>
    </xf>
    <xf numFmtId="0" fontId="32" fillId="0" borderId="154" applyAlignment="1" pivotButton="0" quotePrefix="0" xfId="2">
      <alignment vertical="center"/>
    </xf>
    <xf numFmtId="0" fontId="39" fillId="0" borderId="156" applyAlignment="1" pivotButton="0" quotePrefix="0" xfId="2">
      <alignment horizontal="center" vertical="center"/>
    </xf>
    <xf numFmtId="0" fontId="35" fillId="0" borderId="156" applyAlignment="1" pivotButton="0" quotePrefix="0" xfId="2">
      <alignment horizontal="left" vertical="center" wrapText="1"/>
    </xf>
    <xf numFmtId="0" fontId="35" fillId="0" borderId="156" applyAlignment="1" pivotButton="0" quotePrefix="0" xfId="2">
      <alignment horizontal="center" vertical="center" wrapText="1"/>
    </xf>
    <xf numFmtId="0" fontId="39" fillId="0" borderId="154" applyAlignment="1" pivotButton="0" quotePrefix="0" xfId="2">
      <alignment horizontal="center" vertical="center"/>
    </xf>
    <xf numFmtId="0" fontId="35" fillId="0" borderId="154" applyAlignment="1" pivotButton="0" quotePrefix="0" xfId="2">
      <alignment horizontal="left" vertical="center" wrapText="1"/>
    </xf>
    <xf numFmtId="0" fontId="35" fillId="0" borderId="154" applyAlignment="1" pivotButton="0" quotePrefix="0" xfId="2">
      <alignment horizontal="center" vertical="center" wrapText="1"/>
    </xf>
    <xf numFmtId="0" fontId="0" fillId="0" borderId="162" pivotButton="0" quotePrefix="0" xfId="0"/>
    <xf numFmtId="0" fontId="0" fillId="0" borderId="163" pivotButton="0" quotePrefix="0" xfId="0"/>
  </cellXfs>
  <cellStyles count="3">
    <cellStyle name="Normal" xfId="0" builtinId="0"/>
    <cellStyle name="Comma [0]" xfId="1" builtinId="6"/>
    <cellStyle name="Normal 2" xfId="2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left style="thin">
          <color theme="4" tint="0.3999755851924192"/>
        </left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15" displayName="Table15" ref="B3:D7" headerRowCount="1" totalsRowShown="0" headerRowDxfId="4">
  <autoFilter ref="B3:D7"/>
  <tableColumns count="3">
    <tableColumn id="1" name="Role" dataDxfId="3"/>
    <tableColumn id="2" name="Percent on Dev"/>
    <tableColumn id="3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10:C14" headerRowCount="1" totalsRowShown="0" tableBorderDxfId="2">
  <autoFilter ref="B10:C14"/>
  <tableColumns count="2">
    <tableColumn id="1" name="Role"/>
    <tableColumn id="2" name="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opLeftCell="C1" zoomScale="114" zoomScaleNormal="114" workbookViewId="0">
      <selection activeCell="H21" sqref="H21"/>
    </sheetView>
  </sheetViews>
  <sheetFormatPr baseColWidth="8" defaultColWidth="14.42578125" defaultRowHeight="15" customHeight="1"/>
  <cols>
    <col width="8.7109375" customWidth="1" style="81" min="1" max="1"/>
    <col width="6.28515625" customWidth="1" min="2" max="2"/>
    <col width="40" bestFit="1" customWidth="1" min="3" max="3"/>
    <col width="16.42578125" customWidth="1" min="4" max="4"/>
    <col width="14" customWidth="1" min="5" max="9"/>
    <col width="16.42578125" customWidth="1" min="10" max="10"/>
    <col width="14" customWidth="1" min="11" max="15"/>
    <col width="3.85546875" customWidth="1" min="16" max="16"/>
  </cols>
  <sheetData>
    <row r="1" ht="14.45" customHeight="1">
      <c r="I1" s="50" t="n">
        <v>2500000</v>
      </c>
      <c r="J1" s="1" t="n"/>
    </row>
    <row r="2" ht="21" customHeight="1">
      <c r="B2" s="60" t="inlineStr">
        <is>
          <t>Effort By Module and Role</t>
        </is>
      </c>
      <c r="I2" s="1" t="n"/>
      <c r="J2" s="1" t="n"/>
    </row>
    <row r="3" ht="21.6" customHeight="1" thickBot="1">
      <c r="B3" s="214" t="n"/>
      <c r="C3" s="215" t="n"/>
      <c r="D3" s="215" t="n"/>
      <c r="E3" s="215" t="n"/>
      <c r="F3" s="215" t="n"/>
      <c r="G3" s="215" t="n"/>
      <c r="H3" s="215" t="n"/>
      <c r="I3" s="216" t="n"/>
      <c r="J3" s="217" t="n"/>
      <c r="K3" s="81" t="n"/>
      <c r="L3" s="81" t="n"/>
      <c r="M3" s="81" t="n"/>
      <c r="N3" s="81" t="n"/>
      <c r="O3" s="81" t="n"/>
      <c r="P3" s="81" t="n"/>
    </row>
    <row r="4" ht="15.75" customHeight="1" thickBot="1">
      <c r="A4" s="215" t="n"/>
      <c r="B4" s="183" t="n"/>
      <c r="C4" s="347" t="n"/>
      <c r="D4" s="537" t="inlineStr">
        <is>
          <t>Effort (MD)</t>
        </is>
      </c>
      <c r="E4" s="620" t="n"/>
      <c r="F4" s="620" t="n"/>
      <c r="G4" s="620" t="n"/>
      <c r="H4" s="620" t="n"/>
      <c r="I4" s="621" t="n"/>
      <c r="J4" s="622" t="inlineStr">
        <is>
          <t>Cost (USD)</t>
        </is>
      </c>
      <c r="K4" s="620" t="n"/>
      <c r="L4" s="620" t="n"/>
      <c r="M4" s="620" t="n"/>
      <c r="N4" s="620" t="n"/>
      <c r="O4" s="621" t="n"/>
      <c r="P4" s="216" t="n"/>
    </row>
    <row r="5" ht="48" customHeight="1" thickBot="1">
      <c r="A5" s="215" t="n"/>
      <c r="B5" s="184" t="inlineStr">
        <is>
          <t>#</t>
        </is>
      </c>
      <c r="C5" s="272" t="inlineStr">
        <is>
          <t>Module</t>
        </is>
      </c>
      <c r="D5" s="181" t="inlineStr">
        <is>
          <t>Total (MD)</t>
        </is>
      </c>
      <c r="E5" s="266" t="inlineStr">
        <is>
          <t>BE 
Coding (MD)</t>
        </is>
      </c>
      <c r="F5" s="267" t="inlineStr">
        <is>
          <t>FE/Mobile
Coding (MD)</t>
        </is>
      </c>
      <c r="G5" s="268" t="inlineStr">
        <is>
          <t>Requirement Analysis (MD)</t>
        </is>
      </c>
      <c r="H5" s="268" t="inlineStr">
        <is>
          <t>Testing 
(MD)</t>
        </is>
      </c>
      <c r="I5" s="269" t="inlineStr">
        <is>
          <t>Project Management (MD)</t>
        </is>
      </c>
      <c r="J5" s="182" t="inlineStr">
        <is>
          <t>Total (USD)</t>
        </is>
      </c>
      <c r="K5" s="370" t="inlineStr">
        <is>
          <t>BE 
Coding (USD)</t>
        </is>
      </c>
      <c r="L5" s="371" t="inlineStr">
        <is>
          <t>FE/Mobile
 Coding (USD)</t>
        </is>
      </c>
      <c r="M5" s="372" t="inlineStr">
        <is>
          <t>Requirement Analysis
(USD)</t>
        </is>
      </c>
      <c r="N5" s="372" t="inlineStr">
        <is>
          <t>Testing 
(USD)</t>
        </is>
      </c>
      <c r="O5" s="373" t="inlineStr">
        <is>
          <t>Project Management (USD)</t>
        </is>
      </c>
      <c r="P5" s="216" t="n"/>
    </row>
    <row r="6" ht="15" customHeight="1" thickBot="1">
      <c r="A6" s="215" t="n"/>
      <c r="B6" s="277" t="inlineStr">
        <is>
          <t>I</t>
        </is>
      </c>
      <c r="C6" s="276">
        <f>VLOOKUP($B6,'2. WBS'!$B$5:$L$64,2,FALSE)</f>
        <v/>
      </c>
      <c r="D6" s="623">
        <f>SUM(E6:I6)</f>
        <v/>
      </c>
      <c r="E6" s="624">
        <f>VLOOKUP($B6,'2. WBS'!$B$5:$L$64,6,FALSE)</f>
        <v/>
      </c>
      <c r="F6" s="625">
        <f>VLOOKUP($B6,'2. WBS'!$B$5:$L$64,7,FALSE)</f>
        <v/>
      </c>
      <c r="G6" s="625">
        <f>VLOOKUP($B6,'2. WBS'!$B$5:$L$64,8,FALSE)</f>
        <v/>
      </c>
      <c r="H6" s="626">
        <f>VLOOKUP($B6,'2. WBS'!$B$5:$L$64,9,FALSE)</f>
        <v/>
      </c>
      <c r="I6" s="627">
        <f>VLOOKUP($B6,'2. WBS'!$B$5:$L$64,10,FALSE)</f>
        <v/>
      </c>
      <c r="J6" s="628">
        <f>SUM(K6:O6)</f>
        <v/>
      </c>
      <c r="K6" s="629">
        <f>E6*'4. Master Data'!$C$13</f>
        <v/>
      </c>
      <c r="L6" s="630">
        <f>F6*'4. Master Data'!$C$13</f>
        <v/>
      </c>
      <c r="M6" s="630">
        <f>G6*'4. Master Data'!$C$12</f>
        <v/>
      </c>
      <c r="N6" s="630">
        <f>H6*'4. Master Data'!$C$14</f>
        <v/>
      </c>
      <c r="O6" s="631">
        <f>I6*'4. Master Data'!$C$11</f>
        <v/>
      </c>
      <c r="P6" s="216" t="n"/>
    </row>
    <row r="7" ht="15" customHeight="1" thickBot="1">
      <c r="A7" s="215" t="n"/>
      <c r="B7" s="263" t="inlineStr">
        <is>
          <t>I.A</t>
        </is>
      </c>
      <c r="C7" s="291">
        <f>VLOOKUP($B7,'2. WBS'!$B$5:$L$64,2,FALSE)</f>
        <v/>
      </c>
      <c r="D7" s="632">
        <f>SUM(E7:I7)</f>
        <v/>
      </c>
      <c r="E7" s="633">
        <f>VLOOKUP($B7,'2. WBS'!$B$5:$L$64,6,FALSE)</f>
        <v/>
      </c>
      <c r="F7" s="634">
        <f>VLOOKUP($B7,'2. WBS'!$B$5:$L$64,7,FALSE)</f>
        <v/>
      </c>
      <c r="G7" s="634">
        <f>VLOOKUP($B7,'2. WBS'!$B$5:$L$64,8,FALSE)</f>
        <v/>
      </c>
      <c r="H7" s="635">
        <f>VLOOKUP($B7,'2. WBS'!$B$5:$L$64,9,FALSE)</f>
        <v/>
      </c>
      <c r="I7" s="636">
        <f>VLOOKUP($B7,'2. WBS'!$B$5:$L$64,10,FALSE)</f>
        <v/>
      </c>
      <c r="J7" s="637">
        <f>SUM(K7:O7)</f>
        <v/>
      </c>
      <c r="K7" s="638">
        <f>E7*'4. Master Data'!$C$13</f>
        <v/>
      </c>
      <c r="L7" s="639">
        <f>F7*'4. Master Data'!$C$13</f>
        <v/>
      </c>
      <c r="M7" s="639">
        <f>G7*'4. Master Data'!$C$12</f>
        <v/>
      </c>
      <c r="N7" s="639">
        <f>H7*'4. Master Data'!$C$14</f>
        <v/>
      </c>
      <c r="O7" s="640">
        <f>I7*'4. Master Data'!$C$11</f>
        <v/>
      </c>
      <c r="P7" s="216" t="n"/>
    </row>
    <row r="8" ht="15" customHeight="1" thickBot="1">
      <c r="A8" s="215" t="n"/>
      <c r="B8" s="263" t="inlineStr">
        <is>
          <t>I.B</t>
        </is>
      </c>
      <c r="C8" s="291">
        <f>VLOOKUP($B8,'2. WBS'!$B$5:$L$64,2,FALSE)</f>
        <v/>
      </c>
      <c r="D8" s="632">
        <f>SUM(E8:I8)</f>
        <v/>
      </c>
      <c r="E8" s="633">
        <f>VLOOKUP($B8,'2. WBS'!$B$5:$L$64,6,FALSE)</f>
        <v/>
      </c>
      <c r="F8" s="634">
        <f>VLOOKUP($B8,'2. WBS'!$B$5:$L$64,7,FALSE)</f>
        <v/>
      </c>
      <c r="G8" s="634">
        <f>VLOOKUP($B8,'2. WBS'!$B$5:$L$64,8,FALSE)</f>
        <v/>
      </c>
      <c r="H8" s="635">
        <f>VLOOKUP($B8,'2. WBS'!$B$5:$L$64,9,FALSE)</f>
        <v/>
      </c>
      <c r="I8" s="636">
        <f>VLOOKUP($B8,'2. WBS'!$B$5:$L$64,10,FALSE)</f>
        <v/>
      </c>
      <c r="J8" s="637">
        <f>SUM(K8:O8)</f>
        <v/>
      </c>
      <c r="K8" s="638">
        <f>E8*'4. Master Data'!$C$13</f>
        <v/>
      </c>
      <c r="L8" s="639">
        <f>F8*'4. Master Data'!$C$13</f>
        <v/>
      </c>
      <c r="M8" s="639">
        <f>G8*'4. Master Data'!$C$12</f>
        <v/>
      </c>
      <c r="N8" s="639">
        <f>H8*'4. Master Data'!$C$14</f>
        <v/>
      </c>
      <c r="O8" s="640">
        <f>I8*'4. Master Data'!$C$11</f>
        <v/>
      </c>
      <c r="P8" s="216" t="n"/>
    </row>
    <row r="9" ht="15" customHeight="1" thickBot="1">
      <c r="A9" s="215" t="n"/>
      <c r="B9" s="277" t="inlineStr">
        <is>
          <t>II</t>
        </is>
      </c>
      <c r="C9" s="276">
        <f>VLOOKUP($B9,'2. WBS'!$B$5:$L$64,2,FALSE)</f>
        <v/>
      </c>
      <c r="D9" s="623">
        <f>SUM(E9:I9)</f>
        <v/>
      </c>
      <c r="E9" s="624">
        <f>VLOOKUP($B9,'2. WBS'!$B$5:$L$64,6,FALSE)</f>
        <v/>
      </c>
      <c r="F9" s="625">
        <f>VLOOKUP($B9,'2. WBS'!$B$5:$L$64,7,FALSE)</f>
        <v/>
      </c>
      <c r="G9" s="625">
        <f>VLOOKUP($B9,'2. WBS'!$B$5:$L$64,8,FALSE)</f>
        <v/>
      </c>
      <c r="H9" s="626">
        <f>VLOOKUP($B9,'2. WBS'!$B$5:$L$64,9,FALSE)</f>
        <v/>
      </c>
      <c r="I9" s="627">
        <f>VLOOKUP($B9,'2. WBS'!$B$5:$L$64,10,FALSE)</f>
        <v/>
      </c>
      <c r="J9" s="628">
        <f>SUM(K9:O9)</f>
        <v/>
      </c>
      <c r="K9" s="629">
        <f>E9*'4. Master Data'!$C$13</f>
        <v/>
      </c>
      <c r="L9" s="630">
        <f>F9*'4. Master Data'!$C$13</f>
        <v/>
      </c>
      <c r="M9" s="630">
        <f>G9*'4. Master Data'!$C$12</f>
        <v/>
      </c>
      <c r="N9" s="630">
        <f>H9*'4. Master Data'!$C$14</f>
        <v/>
      </c>
      <c r="O9" s="631">
        <f>I9*'4. Master Data'!$C$11</f>
        <v/>
      </c>
      <c r="P9" s="641" t="n"/>
    </row>
    <row r="10" ht="15" customHeight="1" thickBot="1">
      <c r="A10" s="215" t="n"/>
      <c r="B10" s="263" t="inlineStr">
        <is>
          <t>II.A</t>
        </is>
      </c>
      <c r="C10" s="291">
        <f>VLOOKUP($B10,'2. WBS'!$B$5:$L$64,2,FALSE)</f>
        <v/>
      </c>
      <c r="D10" s="632">
        <f>SUM(E10:I10)</f>
        <v/>
      </c>
      <c r="E10" s="633">
        <f>VLOOKUP($B10,'2. WBS'!$B$5:$L$64,6,FALSE)</f>
        <v/>
      </c>
      <c r="F10" s="634">
        <f>VLOOKUP($B10,'2. WBS'!$B$5:$L$64,7,FALSE)</f>
        <v/>
      </c>
      <c r="G10" s="634">
        <f>VLOOKUP($B10,'2. WBS'!$B$5:$L$64,8,FALSE)</f>
        <v/>
      </c>
      <c r="H10" s="635">
        <f>VLOOKUP($B10,'2. WBS'!$B$5:$L$64,9,FALSE)</f>
        <v/>
      </c>
      <c r="I10" s="636">
        <f>VLOOKUP($B10,'2. WBS'!$B$5:$L$64,10,FALSE)</f>
        <v/>
      </c>
      <c r="J10" s="637">
        <f>SUM(K10:O10)</f>
        <v/>
      </c>
      <c r="K10" s="638">
        <f>E10*'4. Master Data'!$C$13</f>
        <v/>
      </c>
      <c r="L10" s="639">
        <f>F10*'4. Master Data'!$C$13</f>
        <v/>
      </c>
      <c r="M10" s="639">
        <f>G10*'4. Master Data'!$C$12</f>
        <v/>
      </c>
      <c r="N10" s="639">
        <f>H10*'4. Master Data'!$C$14</f>
        <v/>
      </c>
      <c r="O10" s="640">
        <f>I10*'4. Master Data'!$C$11</f>
        <v/>
      </c>
      <c r="P10" s="215" t="n"/>
    </row>
    <row r="11" customFormat="1" s="81" thickBot="1">
      <c r="A11" s="215" t="n"/>
      <c r="B11" s="263" t="inlineStr">
        <is>
          <t>II.B</t>
        </is>
      </c>
      <c r="C11" s="291">
        <f>VLOOKUP($B11,'2. WBS'!$B$5:$L$64,2,FALSE)</f>
        <v/>
      </c>
      <c r="D11" s="632">
        <f>SUM(E11:I11)</f>
        <v/>
      </c>
      <c r="E11" s="633">
        <f>VLOOKUP($B11,'2. WBS'!$B$5:$L$64,6,FALSE)</f>
        <v/>
      </c>
      <c r="F11" s="634">
        <f>VLOOKUP($B11,'2. WBS'!$B$5:$L$64,7,FALSE)</f>
        <v/>
      </c>
      <c r="G11" s="634">
        <f>VLOOKUP($B11,'2. WBS'!$B$5:$L$64,8,FALSE)</f>
        <v/>
      </c>
      <c r="H11" s="635">
        <f>VLOOKUP($B11,'2. WBS'!$B$5:$L$64,9,FALSE)</f>
        <v/>
      </c>
      <c r="I11" s="636">
        <f>VLOOKUP($B11,'2. WBS'!$B$5:$L$64,10,FALSE)</f>
        <v/>
      </c>
      <c r="J11" s="637">
        <f>SUM(K11:O11)</f>
        <v/>
      </c>
      <c r="K11" s="638">
        <f>E11*'4. Master Data'!$C$13</f>
        <v/>
      </c>
      <c r="L11" s="639">
        <f>F11*'4. Master Data'!$C$13</f>
        <v/>
      </c>
      <c r="M11" s="639">
        <f>G11*'4. Master Data'!$C$12</f>
        <v/>
      </c>
      <c r="N11" s="639">
        <f>H11*'4. Master Data'!$C$14</f>
        <v/>
      </c>
      <c r="O11" s="640">
        <f>I11*'4. Master Data'!$C$11</f>
        <v/>
      </c>
      <c r="P11" s="215" t="n"/>
    </row>
    <row r="12" thickBot="1">
      <c r="A12" s="215" t="n"/>
      <c r="B12" s="263" t="inlineStr">
        <is>
          <t>II.C</t>
        </is>
      </c>
      <c r="C12" s="291">
        <f>VLOOKUP($B12,'2. WBS'!$B$5:$L$64,2,FALSE)</f>
        <v/>
      </c>
      <c r="D12" s="632">
        <f>SUM(E12:I12)</f>
        <v/>
      </c>
      <c r="E12" s="633">
        <f>VLOOKUP($B12,'2. WBS'!$B$5:$L$64,6,FALSE)</f>
        <v/>
      </c>
      <c r="F12" s="634">
        <f>VLOOKUP($B12,'2. WBS'!$B$5:$L$64,7,FALSE)</f>
        <v/>
      </c>
      <c r="G12" s="634">
        <f>VLOOKUP($B12,'2. WBS'!$B$5:$L$64,8,FALSE)</f>
        <v/>
      </c>
      <c r="H12" s="635">
        <f>VLOOKUP($B12,'2. WBS'!$B$5:$L$64,9,FALSE)</f>
        <v/>
      </c>
      <c r="I12" s="636">
        <f>VLOOKUP($B12,'2. WBS'!$B$5:$L$64,10,FALSE)</f>
        <v/>
      </c>
      <c r="J12" s="637">
        <f>SUM(K12:O12)</f>
        <v/>
      </c>
      <c r="K12" s="638">
        <f>E12*'4. Master Data'!$C$13</f>
        <v/>
      </c>
      <c r="L12" s="639">
        <f>F12*'4. Master Data'!$C$13</f>
        <v/>
      </c>
      <c r="M12" s="639">
        <f>G12*'4. Master Data'!$C$12</f>
        <v/>
      </c>
      <c r="N12" s="639">
        <f>H12*'4. Master Data'!$C$14</f>
        <v/>
      </c>
      <c r="O12" s="640">
        <f>I12*'4. Master Data'!$C$11</f>
        <v/>
      </c>
      <c r="P12" s="215" t="n"/>
    </row>
    <row r="13" ht="15.75" customHeight="1" thickBot="1">
      <c r="A13" s="215" t="n"/>
      <c r="B13" s="263" t="inlineStr">
        <is>
          <t>II.D</t>
        </is>
      </c>
      <c r="C13" s="291">
        <f>VLOOKUP($B13,'2. WBS'!$B$5:$L$64,2,FALSE)</f>
        <v/>
      </c>
      <c r="D13" s="632">
        <f>SUM(E13:I13)</f>
        <v/>
      </c>
      <c r="E13" s="633">
        <f>VLOOKUP($B13,'2. WBS'!$B$5:$L$64,6,FALSE)</f>
        <v/>
      </c>
      <c r="F13" s="634">
        <f>VLOOKUP($B13,'2. WBS'!$B$5:$L$64,7,FALSE)</f>
        <v/>
      </c>
      <c r="G13" s="634">
        <f>VLOOKUP($B13,'2. WBS'!$B$5:$L$64,8,FALSE)</f>
        <v/>
      </c>
      <c r="H13" s="635">
        <f>VLOOKUP($B13,'2. WBS'!$B$5:$L$64,9,FALSE)</f>
        <v/>
      </c>
      <c r="I13" s="636">
        <f>VLOOKUP($B13,'2. WBS'!$B$5:$L$64,10,FALSE)</f>
        <v/>
      </c>
      <c r="J13" s="637">
        <f>SUM(K13:O13)</f>
        <v/>
      </c>
      <c r="K13" s="638">
        <f>E13*'4. Master Data'!$C$13</f>
        <v/>
      </c>
      <c r="L13" s="639">
        <f>F13*'4. Master Data'!$C$13</f>
        <v/>
      </c>
      <c r="M13" s="639">
        <f>G13*'4. Master Data'!$C$12</f>
        <v/>
      </c>
      <c r="N13" s="639">
        <f>H13*'4. Master Data'!$C$14</f>
        <v/>
      </c>
      <c r="O13" s="640">
        <f>I13*'4. Master Data'!$C$11</f>
        <v/>
      </c>
      <c r="P13" s="215" t="n"/>
    </row>
    <row r="14" ht="15.75" customHeight="1" thickBot="1">
      <c r="A14" s="215" t="n"/>
      <c r="B14" s="263" t="inlineStr">
        <is>
          <t>II.E</t>
        </is>
      </c>
      <c r="C14" s="291">
        <f>VLOOKUP($B14,'2. WBS'!$B$5:$L$64,2,FALSE)</f>
        <v/>
      </c>
      <c r="D14" s="632">
        <f>SUM(E14:I14)</f>
        <v/>
      </c>
      <c r="E14" s="633">
        <f>VLOOKUP($B14,'2. WBS'!$B$5:$L$64,6,FALSE)</f>
        <v/>
      </c>
      <c r="F14" s="634">
        <f>VLOOKUP($B14,'2. WBS'!$B$5:$L$64,7,FALSE)</f>
        <v/>
      </c>
      <c r="G14" s="634">
        <f>VLOOKUP($B14,'2. WBS'!$B$5:$L$64,8,FALSE)</f>
        <v/>
      </c>
      <c r="H14" s="635">
        <f>VLOOKUP($B14,'2. WBS'!$B$5:$L$64,9,FALSE)</f>
        <v/>
      </c>
      <c r="I14" s="636">
        <f>VLOOKUP($B14,'2. WBS'!$B$5:$L$64,10,FALSE)</f>
        <v/>
      </c>
      <c r="J14" s="637">
        <f>SUM(K14:O14)</f>
        <v/>
      </c>
      <c r="K14" s="638">
        <f>E14*'4. Master Data'!$C$13</f>
        <v/>
      </c>
      <c r="L14" s="639">
        <f>F14*'4. Master Data'!$C$13</f>
        <v/>
      </c>
      <c r="M14" s="639">
        <f>G14*'4. Master Data'!$C$12</f>
        <v/>
      </c>
      <c r="N14" s="639">
        <f>H14*'4. Master Data'!$C$14</f>
        <v/>
      </c>
      <c r="O14" s="640">
        <f>I14*'4. Master Data'!$C$11</f>
        <v/>
      </c>
      <c r="P14" s="215" t="n"/>
    </row>
    <row r="15" ht="15.75" customHeight="1" thickBot="1">
      <c r="A15" s="215" t="n"/>
      <c r="B15" s="277" t="inlineStr">
        <is>
          <t>III</t>
        </is>
      </c>
      <c r="C15" s="276">
        <f>VLOOKUP($B15,'2. WBS'!$B$5:$L$64,2,FALSE)</f>
        <v/>
      </c>
      <c r="D15" s="623">
        <f>SUM(E15:I15)</f>
        <v/>
      </c>
      <c r="E15" s="624">
        <f>VLOOKUP($B15,'2. WBS'!$B$5:$L$64,6,FALSE)</f>
        <v/>
      </c>
      <c r="F15" s="625">
        <f>VLOOKUP($B15,'2. WBS'!$B$5:$L$64,7,FALSE)</f>
        <v/>
      </c>
      <c r="G15" s="625">
        <f>VLOOKUP($B15,'2. WBS'!$B$5:$L$64,8,FALSE)</f>
        <v/>
      </c>
      <c r="H15" s="626">
        <f>VLOOKUP($B15,'2. WBS'!$B$5:$L$64,9,FALSE)</f>
        <v/>
      </c>
      <c r="I15" s="627">
        <f>VLOOKUP($B15,'2. WBS'!$B$5:$L$64,10,FALSE)</f>
        <v/>
      </c>
      <c r="J15" s="628">
        <f>SUM(K15:O15)</f>
        <v/>
      </c>
      <c r="K15" s="629">
        <f>E15*'4. Master Data'!$C$13</f>
        <v/>
      </c>
      <c r="L15" s="630">
        <f>F15*'4. Master Data'!$C$13</f>
        <v/>
      </c>
      <c r="M15" s="630">
        <f>G15*'4. Master Data'!$C$12</f>
        <v/>
      </c>
      <c r="N15" s="630">
        <f>H15*'4. Master Data'!$C$14</f>
        <v/>
      </c>
      <c r="O15" s="631">
        <f>I15*'4. Master Data'!$C$11</f>
        <v/>
      </c>
      <c r="P15" s="215" t="n"/>
    </row>
    <row r="16" ht="21.95" customFormat="1" customHeight="1" s="43" thickBot="1">
      <c r="A16" s="215" t="n"/>
      <c r="B16" s="263" t="inlineStr">
        <is>
          <t>III.A</t>
        </is>
      </c>
      <c r="C16" s="291">
        <f>VLOOKUP($B16,'2. WBS'!$B$5:$L$64,2,FALSE)</f>
        <v/>
      </c>
      <c r="D16" s="632">
        <f>SUM(E16:I16)</f>
        <v/>
      </c>
      <c r="E16" s="633">
        <f>VLOOKUP($B16,'2. WBS'!$B$5:$L$64,6,FALSE)</f>
        <v/>
      </c>
      <c r="F16" s="634">
        <f>VLOOKUP($B16,'2. WBS'!$B$5:$L$64,7,FALSE)</f>
        <v/>
      </c>
      <c r="G16" s="634">
        <f>VLOOKUP($B16,'2. WBS'!$B$5:$L$64,8,FALSE)</f>
        <v/>
      </c>
      <c r="H16" s="635">
        <f>VLOOKUP($B16,'2. WBS'!$B$5:$L$64,9,FALSE)</f>
        <v/>
      </c>
      <c r="I16" s="636">
        <f>VLOOKUP($B16,'2. WBS'!$B$5:$L$64,10,FALSE)</f>
        <v/>
      </c>
      <c r="J16" s="637">
        <f>SUM(K16:O16)</f>
        <v/>
      </c>
      <c r="K16" s="638">
        <f>E16*'4. Master Data'!$C$13</f>
        <v/>
      </c>
      <c r="L16" s="639">
        <f>F16*'4. Master Data'!$C$13</f>
        <v/>
      </c>
      <c r="M16" s="639">
        <f>G16*'4. Master Data'!$C$12</f>
        <v/>
      </c>
      <c r="N16" s="639">
        <f>H16*'4. Master Data'!$C$14</f>
        <v/>
      </c>
      <c r="O16" s="640">
        <f>I16*'4. Master Data'!$C$11</f>
        <v/>
      </c>
      <c r="P16" s="378" t="n"/>
    </row>
    <row r="17" ht="15.75" customHeight="1">
      <c r="A17" s="215" t="n"/>
      <c r="B17" s="263" t="inlineStr">
        <is>
          <t>III.B</t>
        </is>
      </c>
      <c r="C17" s="291">
        <f>VLOOKUP($B17,'2. WBS'!$B$5:$L$64,2,FALSE)</f>
        <v/>
      </c>
      <c r="D17" s="632">
        <f>SUM(E17:I17)</f>
        <v/>
      </c>
      <c r="E17" s="633">
        <f>VLOOKUP($B17,'2. WBS'!$B$5:$L$64,6,FALSE)</f>
        <v/>
      </c>
      <c r="F17" s="634">
        <f>VLOOKUP($B17,'2. WBS'!$B$5:$L$64,7,FALSE)</f>
        <v/>
      </c>
      <c r="G17" s="634">
        <f>VLOOKUP($B17,'2. WBS'!$B$5:$L$64,8,FALSE)</f>
        <v/>
      </c>
      <c r="H17" s="635">
        <f>VLOOKUP($B17,'2. WBS'!$B$5:$L$64,9,FALSE)</f>
        <v/>
      </c>
      <c r="I17" s="636">
        <f>VLOOKUP($B17,'2. WBS'!$B$5:$L$64,10,FALSE)</f>
        <v/>
      </c>
      <c r="J17" s="637">
        <f>SUM(K17:O17)</f>
        <v/>
      </c>
      <c r="K17" s="638">
        <f>E17*'4. Master Data'!$C$13</f>
        <v/>
      </c>
      <c r="L17" s="639">
        <f>F17*'4. Master Data'!$C$13</f>
        <v/>
      </c>
      <c r="M17" s="639">
        <f>G17*'4. Master Data'!$C$12</f>
        <v/>
      </c>
      <c r="N17" s="639">
        <f>H17*'4. Master Data'!$C$14</f>
        <v/>
      </c>
      <c r="O17" s="640">
        <f>I17*'4. Master Data'!$C$11</f>
        <v/>
      </c>
      <c r="P17" s="81" t="n"/>
    </row>
    <row r="18" ht="15.75" customHeight="1">
      <c r="A18" s="378" t="n"/>
      <c r="B18" s="348" t="n"/>
      <c r="C18" s="351" t="inlineStr">
        <is>
          <t>TOTAL</t>
        </is>
      </c>
      <c r="D18" s="642">
        <f>SUM(D6,D9,D15)</f>
        <v/>
      </c>
      <c r="E18" s="643">
        <f>SUM(E6,E9,E15)</f>
        <v/>
      </c>
      <c r="F18" s="644">
        <f>SUM(F6,F9,F15)</f>
        <v/>
      </c>
      <c r="G18" s="644">
        <f>SUM(G6,G9,G15)</f>
        <v/>
      </c>
      <c r="H18" s="644">
        <f>SUM(H6,H9,H15)</f>
        <v/>
      </c>
      <c r="I18" s="645">
        <f>SUM(I6,I9,I15)</f>
        <v/>
      </c>
      <c r="J18" s="646">
        <f>SUM(J6,J9,J15)</f>
        <v/>
      </c>
      <c r="K18" s="647">
        <f>SUM(K6,K9,K15)</f>
        <v/>
      </c>
      <c r="L18" s="648">
        <f>SUM(L6,L9,L15)</f>
        <v/>
      </c>
      <c r="M18" s="648">
        <f>SUM(M6,M9,M15)</f>
        <v/>
      </c>
      <c r="N18" s="648">
        <f>SUM(N6,N9,N15)</f>
        <v/>
      </c>
      <c r="O18" s="649">
        <f>SUM(O6,O9,O15)</f>
        <v/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2">
    <mergeCell ref="J4:O4"/>
    <mergeCell ref="D4:I4"/>
  </mergeCells>
  <conditionalFormatting sqref="O6:O15">
    <cfRule type="cellIs" priority="1" operator="greaterThan" dxfId="1">
      <formula>"MVP2"</formula>
    </cfRule>
    <cfRule type="containsText" priority="2" operator="containsText" dxfId="0" text="MVP1">
      <formula>NOT(ISERROR(SEARCH("MVP1",O6)))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4"/>
  <sheetViews>
    <sheetView tabSelected="1" zoomScaleNormal="100" workbookViewId="0">
      <pane ySplit="5" topLeftCell="A48" activePane="bottomLeft" state="frozen"/>
      <selection pane="bottomLeft" activeCell="N63" sqref="N63"/>
    </sheetView>
  </sheetViews>
  <sheetFormatPr baseColWidth="8" defaultColWidth="14.42578125" defaultRowHeight="13.9" outlineLevelRow="1"/>
  <cols>
    <col width="6.140625" customWidth="1" style="381" min="1" max="1"/>
    <col width="6.42578125" bestFit="1" customWidth="1" style="192" min="2" max="2"/>
    <col width="9.140625" customWidth="1" style="192" min="3" max="3"/>
    <col width="30.140625" customWidth="1" style="197" min="4" max="4"/>
    <col width="45.140625" customWidth="1" style="196" min="5" max="5"/>
    <col width="16.28515625" customWidth="1" style="192" min="6" max="6"/>
    <col width="13.42578125" customWidth="1" style="650" min="7" max="7"/>
    <col width="12.85546875" customWidth="1" style="650" min="8" max="8"/>
    <col width="14" customWidth="1" style="192" min="9" max="9"/>
    <col width="12.42578125" customWidth="1" style="192" min="10" max="10"/>
    <col width="15.42578125" customWidth="1" style="192" min="11" max="11"/>
    <col width="34.7109375" customWidth="1" style="192" min="12" max="12"/>
    <col width="8.7109375" customWidth="1" style="203" min="13" max="13"/>
    <col width="42.28515625" bestFit="1" customWidth="1" style="203" min="14" max="14"/>
    <col width="8.7109375" customWidth="1" style="203" min="15" max="24"/>
    <col width="14.42578125" customWidth="1" style="203" min="25" max="16384"/>
  </cols>
  <sheetData>
    <row r="1" ht="14.45" customFormat="1" customHeight="1" s="192" thickBot="1">
      <c r="A1" s="381" t="n"/>
      <c r="E1" s="193" t="n"/>
      <c r="G1" s="650" t="n"/>
      <c r="H1" s="650" t="n"/>
    </row>
    <row r="2" ht="14.45" customFormat="1" customHeight="1" s="192" thickBot="1">
      <c r="A2" s="381" t="n"/>
      <c r="C2" s="194" t="inlineStr">
        <is>
          <t>Project Code</t>
        </is>
      </c>
      <c r="D2" s="195" t="inlineStr">
        <is>
          <t>AIFR</t>
        </is>
      </c>
      <c r="E2" s="196" t="n"/>
      <c r="F2" s="197" t="n"/>
      <c r="G2" s="651" t="n"/>
      <c r="H2" s="652" t="n"/>
      <c r="I2" s="198" t="n"/>
      <c r="J2" s="197" t="n"/>
      <c r="K2" s="197" t="n"/>
    </row>
    <row r="3" ht="24.6" customFormat="1" customHeight="1" s="199">
      <c r="A3" s="382" t="n"/>
      <c r="B3" s="653" t="inlineStr">
        <is>
          <t>WBS OF AI FINANCIAL ANALYSIS, EVIDENCE &amp; REFERENCE-CHECK PLATFORM</t>
        </is>
      </c>
    </row>
    <row r="4" ht="24.6" customFormat="1" customHeight="1" s="199">
      <c r="A4" s="382" t="n"/>
      <c r="B4" s="200" t="n"/>
      <c r="C4" s="200" t="n"/>
      <c r="D4" s="200" t="n"/>
      <c r="E4" s="201" t="n"/>
      <c r="F4" s="200" t="n"/>
      <c r="G4" s="654" t="n"/>
      <c r="H4" s="654" t="n"/>
      <c r="I4" s="655" t="n"/>
      <c r="J4" s="655" t="n"/>
      <c r="K4" s="655" t="n"/>
      <c r="L4" s="200" t="n"/>
    </row>
    <row r="5" ht="55.15" customFormat="1" customHeight="1" s="192">
      <c r="A5" s="382" t="n"/>
      <c r="B5" s="144" t="inlineStr">
        <is>
          <t>#</t>
        </is>
      </c>
      <c r="C5" s="145" t="inlineStr">
        <is>
          <t>Ref. Code</t>
        </is>
      </c>
      <c r="D5" s="146" t="inlineStr">
        <is>
          <t>Features</t>
        </is>
      </c>
      <c r="E5" s="186" t="inlineStr">
        <is>
          <t>Description</t>
        </is>
      </c>
      <c r="F5" s="656" t="inlineStr">
        <is>
          <t>Total  (MD)</t>
        </is>
      </c>
      <c r="G5" s="657" t="inlineStr">
        <is>
          <t>BE Coding (MD)</t>
        </is>
      </c>
      <c r="H5" s="657" t="inlineStr">
        <is>
          <t>FE/Mobile Coding (MD)</t>
        </is>
      </c>
      <c r="I5" s="658" t="inlineStr">
        <is>
          <t>Requirement Analysis (MD)</t>
        </is>
      </c>
      <c r="J5" s="658" t="inlineStr">
        <is>
          <t>Testing (MD)</t>
        </is>
      </c>
      <c r="K5" s="658" t="inlineStr">
        <is>
          <t>Project Management (MD)</t>
        </is>
      </c>
      <c r="L5" s="146" t="inlineStr">
        <is>
          <t>Remark</t>
        </is>
      </c>
      <c r="M5" s="199" t="inlineStr">
        <is>
          <t>Optimistic (O)</t>
        </is>
      </c>
      <c r="N5" s="199" t="inlineStr">
        <is>
          <t>Most-likely (M)</t>
        </is>
      </c>
      <c r="O5" s="199" t="inlineStr">
        <is>
          <t>Pessimistic (P)</t>
        </is>
      </c>
      <c r="P5" s="199" t="inlineStr">
        <is>
          <t>P50 (md)</t>
        </is>
      </c>
      <c r="Q5" s="199" t="inlineStr">
        <is>
          <t>P80 (md)</t>
        </is>
      </c>
      <c r="R5" s="199" t="inlineStr">
        <is>
          <t>Definition of Done</t>
        </is>
      </c>
      <c r="S5" s="199" t="n"/>
      <c r="T5" s="199" t="n"/>
      <c r="U5" s="199" t="n"/>
      <c r="V5" s="199" t="n"/>
      <c r="W5" s="199" t="n"/>
      <c r="X5" s="199" t="n"/>
    </row>
    <row r="6" ht="15.6" customFormat="1" customHeight="1" s="192">
      <c r="A6" s="382" t="n"/>
      <c r="B6" s="148" t="n"/>
      <c r="C6" s="149" t="n"/>
      <c r="D6" s="150" t="n"/>
      <c r="E6" s="187" t="n"/>
      <c r="F6" s="659">
        <f>SUM(G6:K6)</f>
        <v/>
      </c>
      <c r="G6" s="659">
        <f>SUM(G7,G20,G55)</f>
        <v/>
      </c>
      <c r="H6" s="659">
        <f>SUM(H7,H20,H55)</f>
        <v/>
      </c>
      <c r="I6" s="659">
        <f>SUM(I7,I20,I55)</f>
        <v/>
      </c>
      <c r="J6" s="659">
        <f>SUM(J7,J20,J55)</f>
        <v/>
      </c>
      <c r="K6" s="659">
        <f>SUM(K7,K20,K55)</f>
        <v/>
      </c>
      <c r="L6" s="660" t="n"/>
      <c r="M6" s="199" t="n"/>
      <c r="N6" s="199" t="n"/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</row>
    <row r="7" ht="15.6" customFormat="1" customHeight="1" s="192">
      <c r="A7" s="382" t="inlineStr">
        <is>
          <t>I</t>
        </is>
      </c>
      <c r="B7" s="239" t="inlineStr">
        <is>
          <t>I</t>
        </is>
      </c>
      <c r="C7" s="232" t="inlineStr">
        <is>
          <t>SET UP &amp; INSTALLATION</t>
        </is>
      </c>
      <c r="D7" s="232" t="n"/>
      <c r="E7" s="233" t="n"/>
      <c r="F7" s="661">
        <f>SUM(G7:K7)</f>
        <v/>
      </c>
      <c r="G7" s="661">
        <f>SUM(G8,G14)</f>
        <v/>
      </c>
      <c r="H7" s="661">
        <f>SUM(H8,H14)</f>
        <v/>
      </c>
      <c r="I7" s="661">
        <f>SUM(I8,I14)</f>
        <v/>
      </c>
      <c r="J7" s="661">
        <f>SUM(J8,J14)</f>
        <v/>
      </c>
      <c r="K7" s="661">
        <f>SUM(K8,K14)</f>
        <v/>
      </c>
      <c r="L7" s="660" t="n"/>
      <c r="M7" s="199" t="n"/>
      <c r="N7" s="225" t="n"/>
      <c r="O7" s="199" t="n"/>
      <c r="P7" s="199" t="n"/>
      <c r="Q7" s="199" t="n"/>
      <c r="R7" s="199" t="n"/>
      <c r="S7" s="199" t="n"/>
      <c r="T7" s="199" t="n"/>
      <c r="U7" s="199" t="n"/>
      <c r="V7" s="199" t="n"/>
      <c r="W7" s="199" t="n"/>
      <c r="X7" s="199" t="n"/>
    </row>
    <row r="8" ht="15.6" customFormat="1" customHeight="1" s="192">
      <c r="A8" s="382" t="inlineStr">
        <is>
          <t>A</t>
        </is>
      </c>
      <c r="B8" s="240" t="inlineStr">
        <is>
          <t>I.A</t>
        </is>
      </c>
      <c r="C8" s="230" t="inlineStr">
        <is>
          <t>Requirement Gathering &amp; BA</t>
        </is>
      </c>
      <c r="D8" s="230" t="n"/>
      <c r="E8" s="231" t="n"/>
      <c r="F8" s="662">
        <f>SUM(G8:K8)</f>
        <v/>
      </c>
      <c r="G8" s="662">
        <f>SUM(G9:G12)</f>
        <v/>
      </c>
      <c r="H8" s="662">
        <f>SUM(H9:H12)</f>
        <v/>
      </c>
      <c r="I8" s="662">
        <f>SUM(I9:I12)</f>
        <v/>
      </c>
      <c r="J8" s="662">
        <f>SUM(J9:J12)</f>
        <v/>
      </c>
      <c r="K8" s="662">
        <f>SUM(K9:K12)</f>
        <v/>
      </c>
      <c r="L8" s="143" t="n"/>
      <c r="M8" s="199" t="n"/>
      <c r="N8" s="199" t="n"/>
      <c r="O8" s="199" t="n"/>
      <c r="P8" s="199" t="n"/>
      <c r="Q8" s="199" t="n"/>
      <c r="R8" s="199" t="n"/>
      <c r="S8" s="199" t="n"/>
      <c r="T8" s="199" t="n"/>
      <c r="U8" s="199" t="n"/>
      <c r="V8" s="199" t="n"/>
      <c r="W8" s="199" t="n"/>
      <c r="X8" s="199" t="n"/>
    </row>
    <row r="9" outlineLevel="1" ht="15.6" customFormat="1" customHeight="1" s="192">
      <c r="A9" s="382" t="n">
        <v>1</v>
      </c>
      <c r="B9" s="242" t="n"/>
      <c r="C9" s="242" t="inlineStr">
        <is>
          <t>Requirements</t>
        </is>
      </c>
      <c r="D9" s="249" t="n"/>
      <c r="E9" s="238" t="n"/>
      <c r="F9" s="663" t="n"/>
      <c r="G9" s="664" t="n"/>
      <c r="H9" s="664" t="n"/>
      <c r="I9" s="664" t="n"/>
      <c r="J9" s="664" t="n"/>
      <c r="K9" s="664" t="n"/>
      <c r="L9" s="660" t="n"/>
      <c r="M9" s="199" t="n"/>
      <c r="N9" s="225" t="n"/>
      <c r="O9" s="199" t="n"/>
      <c r="P9" s="199" t="n"/>
      <c r="Q9" s="199" t="n"/>
      <c r="R9" s="199" t="n"/>
      <c r="S9" s="199" t="n"/>
      <c r="T9" s="199" t="n"/>
      <c r="U9" s="199" t="n"/>
      <c r="V9" s="199" t="n"/>
      <c r="W9" s="199" t="n"/>
      <c r="X9" s="199" t="n"/>
    </row>
    <row r="10" outlineLevel="1" ht="27.6" customFormat="1" customHeight="1" s="192">
      <c r="A10" s="382" t="n"/>
      <c r="B10" s="236" t="n">
        <v>1</v>
      </c>
      <c r="C10" s="237">
        <f>CONCATENATE($D$2&amp;"-",B10)</f>
        <v/>
      </c>
      <c r="D10" s="185" t="inlineStr">
        <is>
          <t>AIFR scope, workflow and acceptance requirements</t>
        </is>
      </c>
      <c r="E10" s="188" t="inlineStr">
        <is>
          <t>Confirm analyst workflow, input/output contract, review states, exception paths, and release acceptance criteria.</t>
        </is>
      </c>
      <c r="F10" s="665">
        <f>SUM(G10:K10)</f>
        <v/>
      </c>
      <c r="G10" s="665" t="n"/>
      <c r="H10" s="666" t="n"/>
      <c r="I10" s="665" t="n">
        <v>6</v>
      </c>
      <c r="J10" s="665" t="n"/>
      <c r="K10" s="665">
        <f>SUM(G10:J10)*'4. Master Data'!$C$4</f>
        <v/>
      </c>
      <c r="L10" s="143" t="inlineStr">
        <is>
          <t>BA-only requirements work</t>
        </is>
      </c>
      <c r="M10" s="199" t="n">
        <v>5</v>
      </c>
      <c r="N10" s="225" t="n">
        <v>6</v>
      </c>
      <c r="O10" s="199" t="n">
        <v>8</v>
      </c>
      <c r="P10" s="199" t="n">
        <v>6.1667</v>
      </c>
      <c r="Q10" s="199" t="n">
        <v>6.5877</v>
      </c>
      <c r="R10" s="199" t="inlineStr">
        <is>
          <t>Approved BRD/workflow map; Acceptance criteria mapped to WBS items</t>
        </is>
      </c>
      <c r="S10" s="199" t="n"/>
      <c r="T10" s="199" t="n"/>
      <c r="U10" s="199" t="n"/>
      <c r="V10" s="199" t="n"/>
      <c r="W10" s="199" t="n"/>
      <c r="X10" s="199" t="n"/>
    </row>
    <row r="11" outlineLevel="1" ht="27.6" customFormat="1" customHeight="1" s="192">
      <c r="A11" s="382" t="n"/>
      <c r="B11" s="236" t="n">
        <v>2</v>
      </c>
      <c r="C11" s="237">
        <f>CONCATENATE($D$2&amp;"-",B11)</f>
        <v/>
      </c>
      <c r="D11" s="185" t="inlineStr">
        <is>
          <t>Financial ratio, health rule and benchmark requirements</t>
        </is>
      </c>
      <c r="E11" s="188" t="inlineStr">
        <is>
          <t>Elicit ratio formulas, deterministic rule precedence, health bands, benchmark comparison rules, and exception handling.</t>
        </is>
      </c>
      <c r="F11" s="665">
        <f>SUM(G11:K11)</f>
        <v/>
      </c>
      <c r="G11" s="665" t="n"/>
      <c r="H11" s="666" t="n"/>
      <c r="I11" s="665" t="n">
        <v>4</v>
      </c>
      <c r="J11" s="665" t="n"/>
      <c r="K11" s="665">
        <f>SUM(G11:J11)*'4. Master Data'!$C$4</f>
        <v/>
      </c>
      <c r="L11" s="143" t="inlineStr">
        <is>
          <t>BA-only requirements work</t>
        </is>
      </c>
      <c r="M11" s="199" t="n">
        <v>3</v>
      </c>
      <c r="N11" s="225" t="n">
        <v>4</v>
      </c>
      <c r="O11" s="199" t="n">
        <v>6</v>
      </c>
      <c r="P11" s="199" t="n">
        <v>4.1667</v>
      </c>
      <c r="Q11" s="199" t="n">
        <v>4.5877</v>
      </c>
      <c r="R11" s="199" t="inlineStr">
        <is>
          <t>Signed-off ratio/rule catalog; Benchmark governance decisions recorded</t>
        </is>
      </c>
      <c r="S11" s="199" t="n"/>
      <c r="T11" s="199" t="n"/>
      <c r="U11" s="199" t="n"/>
      <c r="V11" s="199" t="n"/>
      <c r="W11" s="199" t="n"/>
      <c r="X11" s="199" t="n"/>
    </row>
    <row r="12" outlineLevel="1" ht="27.6" customFormat="1" customHeight="1" s="192">
      <c r="A12" s="382" t="n"/>
      <c r="B12" s="236" t="n">
        <v>3</v>
      </c>
      <c r="C12" s="237">
        <f>CONCATENATE($D$2&amp;"-",B12)</f>
        <v/>
      </c>
      <c r="D12" s="185" t="inlineStr">
        <is>
          <t>Evidence, audit, security and explainability requirements</t>
        </is>
      </c>
      <c r="E12" s="188" t="inlineStr">
        <is>
          <t>Define source hierarchy, citation/provenance fields, audit events, access controls, PII handling, and analyst note expectations.</t>
        </is>
      </c>
      <c r="F12" s="665">
        <f>SUM(G12:K12)</f>
        <v/>
      </c>
      <c r="G12" s="665" t="n"/>
      <c r="H12" s="666" t="n"/>
      <c r="I12" s="665" t="n">
        <v>3</v>
      </c>
      <c r="J12" s="665" t="n"/>
      <c r="K12" s="665">
        <f>SUM(G12:J12)*'4. Master Data'!$C$4</f>
        <v/>
      </c>
      <c r="L12" s="143" t="inlineStr">
        <is>
          <t>BA-only requirements work</t>
        </is>
      </c>
      <c r="M12" s="199" t="n">
        <v>2</v>
      </c>
      <c r="N12" s="225" t="n">
        <v>3</v>
      </c>
      <c r="O12" s="199" t="n">
        <v>5</v>
      </c>
      <c r="P12" s="199" t="n">
        <v>3.1667</v>
      </c>
      <c r="Q12" s="199" t="n">
        <v>3.5877</v>
      </c>
      <c r="R12" s="199" t="inlineStr">
        <is>
          <t>Evidence and audit schema requirements approved; Security and explanation acceptance criteria approved</t>
        </is>
      </c>
      <c r="S12" s="199" t="n"/>
      <c r="T12" s="199" t="n"/>
      <c r="U12" s="199" t="n"/>
      <c r="V12" s="199" t="n"/>
      <c r="W12" s="199" t="n"/>
      <c r="X12" s="199" t="n"/>
    </row>
    <row r="13" outlineLevel="1" customFormat="1" s="192">
      <c r="A13" s="382" t="n"/>
      <c r="B13" s="236" t="n"/>
      <c r="C13" s="243" t="n"/>
      <c r="D13" s="244" t="n"/>
      <c r="E13" s="245" t="n"/>
      <c r="F13" s="665" t="n"/>
      <c r="G13" s="665" t="n"/>
      <c r="H13" s="666" t="n"/>
      <c r="I13" s="665" t="n"/>
      <c r="J13" s="665" t="n"/>
      <c r="K13" s="665" t="n"/>
      <c r="L13" s="143" t="n"/>
      <c r="M13" s="199" t="n"/>
      <c r="N13" s="225" t="n"/>
      <c r="O13" s="199" t="n"/>
      <c r="P13" s="199" t="n"/>
      <c r="Q13" s="199" t="n"/>
      <c r="R13" s="199" t="n"/>
      <c r="S13" s="199" t="n"/>
      <c r="T13" s="199" t="n"/>
      <c r="U13" s="199" t="n"/>
      <c r="V13" s="199" t="n"/>
      <c r="W13" s="199" t="n"/>
      <c r="X13" s="199" t="n"/>
    </row>
    <row r="14" ht="15.6" customFormat="1" customHeight="1" s="192">
      <c r="A14" s="382" t="inlineStr">
        <is>
          <t>B</t>
        </is>
      </c>
      <c r="B14" s="240" t="inlineStr">
        <is>
          <t>I.B</t>
        </is>
      </c>
      <c r="C14" s="230" t="inlineStr">
        <is>
          <t>AI Runtime Integration &amp; Operational Readiness</t>
        </is>
      </c>
      <c r="D14" s="230" t="n"/>
      <c r="E14" s="231" t="n"/>
      <c r="F14" s="662">
        <f>SUM(G14:K14)</f>
        <v/>
      </c>
      <c r="G14" s="662">
        <f>SUM(G15:G18)</f>
        <v/>
      </c>
      <c r="H14" s="662">
        <f>SUM(H15:H18)</f>
        <v/>
      </c>
      <c r="I14" s="662">
        <f>SUM(I15:I18)</f>
        <v/>
      </c>
      <c r="J14" s="662">
        <f>SUM(J15:J18)</f>
        <v/>
      </c>
      <c r="K14" s="662">
        <f>SUM(K15:K18)</f>
        <v/>
      </c>
      <c r="L14" s="143" t="n"/>
      <c r="M14" s="199" t="n"/>
      <c r="N14" s="199" t="n"/>
      <c r="O14" s="199" t="n"/>
      <c r="P14" s="199" t="n"/>
      <c r="Q14" s="199" t="n"/>
      <c r="R14" s="199" t="n"/>
      <c r="S14" s="199" t="n"/>
      <c r="T14" s="199" t="n"/>
      <c r="U14" s="199" t="n"/>
      <c r="V14" s="199" t="n"/>
      <c r="W14" s="199" t="n"/>
      <c r="X14" s="199" t="n"/>
    </row>
    <row r="15" ht="15.6" customFormat="1" customHeight="1" s="192">
      <c r="A15" s="382" t="n">
        <v>1</v>
      </c>
      <c r="B15" s="242" t="n"/>
      <c r="C15" s="242" t="inlineStr">
        <is>
          <t>Runtime integration</t>
        </is>
      </c>
      <c r="D15" s="249" t="n"/>
      <c r="E15" s="238" t="n"/>
      <c r="F15" s="663" t="n"/>
      <c r="G15" s="664" t="n"/>
      <c r="H15" s="664" t="n"/>
      <c r="I15" s="664" t="n"/>
      <c r="J15" s="664" t="n"/>
      <c r="K15" s="664" t="n"/>
      <c r="L15" s="660" t="n"/>
      <c r="M15" s="199" t="n"/>
      <c r="N15" s="199" t="n"/>
      <c r="O15" s="199" t="n"/>
      <c r="P15" s="199" t="n"/>
      <c r="Q15" s="199" t="n"/>
      <c r="R15" s="199" t="n"/>
      <c r="S15" s="199" t="n"/>
      <c r="T15" s="199" t="n"/>
      <c r="U15" s="199" t="n"/>
      <c r="V15" s="199" t="n"/>
      <c r="W15" s="199" t="n"/>
      <c r="X15" s="199" t="n"/>
    </row>
    <row r="16" outlineLevel="1" ht="27.6" customFormat="1" customHeight="1" s="192">
      <c r="A16" s="382" t="n"/>
      <c r="B16" s="236" t="n">
        <v>4</v>
      </c>
      <c r="C16" s="237">
        <f>CONCATENATE($D$2&amp;"-",B16)</f>
        <v/>
      </c>
      <c r="D16" s="185" t="inlineStr">
        <is>
          <t>vLLM/SGLang model endpoint integration</t>
        </is>
      </c>
      <c r="E16" s="188" t="inlineStr">
        <is>
          <t>Integrate the existing vLLM/SGLang endpoint, retries/timeouts, model selection, and health checks; excludes runtime installation/base setup.</t>
        </is>
      </c>
      <c r="F16" s="665">
        <f>SUM(G16:K16)</f>
        <v/>
      </c>
      <c r="G16" s="665" t="n">
        <v>6</v>
      </c>
      <c r="H16" s="666" t="n"/>
      <c r="I16" s="665">
        <f>SUM(G16:H16)*'4. Master Data'!$C$5</f>
        <v/>
      </c>
      <c r="J16" s="665">
        <f>SUM(G16:H16)*'4. Master Data'!$C$7</f>
        <v/>
      </c>
      <c r="K16" s="665">
        <f>SUM(G16:J16)*'4. Master Data'!$C$4</f>
        <v/>
      </c>
      <c r="L16" s="143" t="inlineStr">
        <is>
          <t>Existing serving setup; endpoint integration only</t>
        </is>
      </c>
      <c r="M16" s="199" t="n">
        <v>4</v>
      </c>
      <c r="N16" s="225" t="n">
        <v>6</v>
      </c>
      <c r="O16" s="199" t="n">
        <v>8</v>
      </c>
      <c r="P16" s="199" t="n">
        <v>6</v>
      </c>
      <c r="Q16" s="199" t="n">
        <v>6.5613</v>
      </c>
      <c r="R16" s="199" t="inlineStr">
        <is>
          <t>Endpoint health check passes; Timeout/retry behavior tested; No runtime installation work included</t>
        </is>
      </c>
      <c r="S16" s="199" t="n"/>
      <c r="T16" s="199" t="n"/>
      <c r="U16" s="199" t="n"/>
      <c r="V16" s="199" t="n"/>
      <c r="W16" s="199" t="n"/>
      <c r="X16" s="199" t="n"/>
    </row>
    <row r="17" outlineLevel="1" ht="27.6" customFormat="1" customHeight="1" s="192">
      <c r="A17" s="382" t="n"/>
      <c r="B17" s="236" t="n">
        <v>5</v>
      </c>
      <c r="C17" s="237">
        <f>CONCATENATE($D$2&amp;"-",B17)</f>
        <v/>
      </c>
      <c r="D17" s="185" t="inlineStr">
        <is>
          <t>Tool-calling contract tests and adapter harness</t>
        </is>
      </c>
      <c r="E17" s="188" t="inlineStr">
        <is>
          <t>Implement JSON-schema tool-call contracts, mock tool adapters, invalid-call fixtures, and compatibility tests for the approved model endpoint.</t>
        </is>
      </c>
      <c r="F17" s="665">
        <f>SUM(G17:K17)</f>
        <v/>
      </c>
      <c r="G17" s="665" t="n">
        <v>5</v>
      </c>
      <c r="H17" s="666" t="n"/>
      <c r="I17" s="665">
        <f>SUM(G17:H17)*'4. Master Data'!$C$5</f>
        <v/>
      </c>
      <c r="J17" s="665">
        <f>SUM(G17:H17)*'4. Master Data'!$C$7</f>
        <v/>
      </c>
      <c r="K17" s="665">
        <f>SUM(G17:J17)*'4. Master Data'!$C$4</f>
        <v/>
      </c>
      <c r="L17" s="143" t="inlineStr">
        <is>
          <t>Contract tests only; no frontend/mobile coding</t>
        </is>
      </c>
      <c r="M17" s="199" t="n">
        <v>3</v>
      </c>
      <c r="N17" s="225" t="n">
        <v>5</v>
      </c>
      <c r="O17" s="199" t="n">
        <v>7</v>
      </c>
      <c r="P17" s="199" t="n">
        <v>5</v>
      </c>
      <c r="Q17" s="199" t="n">
        <v>5.5613</v>
      </c>
      <c r="R17" s="199" t="inlineStr">
        <is>
          <t>Valid and invalid tool-call fixtures pass; Schema-version compatibility test passes; Contract test report committed</t>
        </is>
      </c>
      <c r="S17" s="199" t="n"/>
      <c r="T17" s="199" t="n"/>
      <c r="U17" s="199" t="n"/>
      <c r="V17" s="199" t="n"/>
      <c r="W17" s="199" t="n"/>
      <c r="X17" s="199" t="n"/>
    </row>
    <row r="18" outlineLevel="1" ht="27.6" customFormat="1" customHeight="1" s="192">
      <c r="A18" s="382" t="n"/>
      <c r="B18" s="236" t="n">
        <v>6</v>
      </c>
      <c r="C18" s="237">
        <f>CONCATENATE($D$2&amp;"-",B18)</f>
        <v/>
      </c>
      <c r="D18" s="185" t="inlineStr">
        <is>
          <t>Model endpoint performance validation</t>
        </is>
      </c>
      <c r="E18" s="188" t="inlineStr">
        <is>
          <t>Run representative prompt/tool-call load tests, measure latency/token throughput, and document concurrency limits and fallback thresholds.</t>
        </is>
      </c>
      <c r="F18" s="665">
        <f>SUM(G18:K18)</f>
        <v/>
      </c>
      <c r="G18" s="665" t="n">
        <v>4</v>
      </c>
      <c r="H18" s="666" t="n"/>
      <c r="I18" s="665">
        <f>SUM(G18:H18)*'4. Master Data'!$C$5</f>
        <v/>
      </c>
      <c r="J18" s="665">
        <f>SUM(G18:H18)*'4. Master Data'!$C$7</f>
        <v/>
      </c>
      <c r="K18" s="665">
        <f>SUM(G18:J18)*'4. Master Data'!$C$4</f>
        <v/>
      </c>
      <c r="L18" s="143" t="inlineStr">
        <is>
          <t>Validation of existing runtime only</t>
        </is>
      </c>
      <c r="M18" s="199" t="n">
        <v>3</v>
      </c>
      <c r="N18" s="225" t="n">
        <v>4</v>
      </c>
      <c r="O18" s="199" t="n">
        <v>6</v>
      </c>
      <c r="P18" s="199" t="n">
        <v>4.1667</v>
      </c>
      <c r="Q18" s="199" t="n">
        <v>4.5877</v>
      </c>
      <c r="R18" s="199" t="inlineStr">
        <is>
          <t>Latency and throughput baseline recorded; Performance limits and fallback thresholds approved</t>
        </is>
      </c>
      <c r="S18" s="199" t="n"/>
      <c r="T18" s="199" t="n"/>
      <c r="U18" s="199" t="n"/>
      <c r="V18" s="199" t="n"/>
      <c r="W18" s="199" t="n"/>
      <c r="X18" s="199" t="n"/>
    </row>
    <row r="19" outlineLevel="1" ht="27.6" customFormat="1" customHeight="1" s="192">
      <c r="A19" s="382" t="n"/>
      <c r="B19" s="236" t="n"/>
      <c r="C19" s="243" t="n"/>
      <c r="D19" s="244" t="n"/>
      <c r="E19" s="245" t="n"/>
      <c r="F19" s="665" t="n"/>
      <c r="G19" s="665" t="n"/>
      <c r="H19" s="666" t="n"/>
      <c r="I19" s="665" t="n"/>
      <c r="J19" s="665" t="n"/>
      <c r="K19" s="665" t="n"/>
      <c r="L19" s="143" t="n"/>
      <c r="M19" s="199" t="n"/>
      <c r="N19" s="225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</row>
    <row r="20" ht="15.6" customFormat="1" customHeight="1" s="192">
      <c r="A20" s="382" t="inlineStr">
        <is>
          <t>II</t>
        </is>
      </c>
      <c r="B20" s="239" t="inlineStr">
        <is>
          <t>II</t>
        </is>
      </c>
      <c r="C20" s="232" t="inlineStr">
        <is>
          <t>DEVELOPMENT</t>
        </is>
      </c>
      <c r="D20" s="232" t="n"/>
      <c r="E20" s="233" t="n"/>
      <c r="F20" s="661">
        <f>SUM(G20:K20)</f>
        <v/>
      </c>
      <c r="G20" s="661">
        <f>SUM(G21,G32,G38,G44,G49)</f>
        <v/>
      </c>
      <c r="H20" s="661">
        <f>SUM(H21,H32,H38,H44,H49)</f>
        <v/>
      </c>
      <c r="I20" s="661">
        <f>SUM(I21,I32,I38,I44,I49)</f>
        <v/>
      </c>
      <c r="J20" s="661">
        <f>SUM(J21,J32,J38,J44,J49)</f>
        <v/>
      </c>
      <c r="K20" s="661">
        <f>SUM(K21,K32,K38,K44,K49)</f>
        <v/>
      </c>
      <c r="L20" s="660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</row>
    <row r="21" ht="15.6" customFormat="1" customHeight="1" s="192">
      <c r="A21" s="382" t="inlineStr">
        <is>
          <t>A</t>
        </is>
      </c>
      <c r="B21" s="240" t="inlineStr">
        <is>
          <t>II.A</t>
        </is>
      </c>
      <c r="C21" s="230" t="inlineStr">
        <is>
          <t>AI Models &amp; Orchestration</t>
        </is>
      </c>
      <c r="D21" s="230" t="n"/>
      <c r="E21" s="231" t="n"/>
      <c r="F21" s="662">
        <f>SUM(G21:K21)</f>
        <v/>
      </c>
      <c r="G21" s="662">
        <f>SUM(G22:G30)</f>
        <v/>
      </c>
      <c r="H21" s="662">
        <f>SUM(H22:H30)</f>
        <v/>
      </c>
      <c r="I21" s="662">
        <f>SUM(I22:I30)</f>
        <v/>
      </c>
      <c r="J21" s="662">
        <f>SUM(J22:J30)</f>
        <v/>
      </c>
      <c r="K21" s="662">
        <f>SUM(K22:K30)</f>
        <v/>
      </c>
      <c r="L21" s="143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</row>
    <row r="22" ht="15.6" customFormat="1" customHeight="1" s="192">
      <c r="A22" s="382" t="n">
        <v>1</v>
      </c>
      <c r="B22" s="242" t="n"/>
      <c r="C22" s="242" t="inlineStr">
        <is>
          <t>Agent implementations</t>
        </is>
      </c>
      <c r="D22" s="249" t="n"/>
      <c r="E22" s="238" t="n"/>
      <c r="F22" s="663" t="n"/>
      <c r="G22" s="664" t="n"/>
      <c r="H22" s="664" t="n"/>
      <c r="I22" s="664" t="n"/>
      <c r="J22" s="664" t="n"/>
      <c r="K22" s="664" t="n"/>
      <c r="L22" s="660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</row>
    <row r="23" ht="27.6" customFormat="1" customHeight="1" s="192">
      <c r="A23" s="382" t="n"/>
      <c r="B23" s="236" t="n">
        <v>7</v>
      </c>
      <c r="C23" s="237">
        <f>CONCATENATE($D$2&amp;"-",B23)</f>
        <v/>
      </c>
      <c r="D23" s="185" t="inlineStr">
        <is>
          <t>Main Agent / LangGraph-DeepAgent orchestration</t>
        </is>
      </c>
      <c r="E23" s="188" t="inlineStr">
        <is>
          <t>Implement the typed state graph, task routing, checkpoint/resume, agent hand-offs, bounded retries, and terminal result assembly for the financial analysis workflow.</t>
        </is>
      </c>
      <c r="F23" s="665">
        <f>SUM(G23:K23)</f>
        <v/>
      </c>
      <c r="G23" s="665" t="n">
        <v>6</v>
      </c>
      <c r="H23" s="666" t="n"/>
      <c r="I23" s="665">
        <f>SUM(G23:H23)*'4. Master Data'!$C$5</f>
        <v/>
      </c>
      <c r="J23" s="665">
        <f>SUM(G23:H23)*'4. Master Data'!$C$7</f>
        <v/>
      </c>
      <c r="K23" s="665">
        <f>SUM(G23:J23)*'4. Master Data'!$C$4</f>
        <v/>
      </c>
      <c r="L23" s="143" t="inlineStr">
        <is>
          <t>Concrete orchestration implementation</t>
        </is>
      </c>
      <c r="M23" s="199" t="n">
        <v>4</v>
      </c>
      <c r="N23" s="199" t="n">
        <v>6</v>
      </c>
      <c r="O23" s="199" t="n">
        <v>8</v>
      </c>
      <c r="P23" s="199" t="n">
        <v>6</v>
      </c>
      <c r="Q23" s="199" t="n">
        <v>6.5613</v>
      </c>
      <c r="R23" s="199" t="inlineStr">
        <is>
          <t>Graph completes happy-path workflow; Checkpoint/resume preserves state; Retry limits and terminal errors are covered by tests</t>
        </is>
      </c>
      <c r="S23" s="199" t="n"/>
      <c r="T23" s="199" t="n"/>
      <c r="U23" s="199" t="n"/>
      <c r="V23" s="199" t="n"/>
      <c r="W23" s="199" t="n"/>
      <c r="X23" s="199" t="n"/>
    </row>
    <row r="24" outlineLevel="1" ht="27.6" customFormat="1" customHeight="1" s="192">
      <c r="A24" s="382" t="n"/>
      <c r="B24" s="236" t="n">
        <v>8</v>
      </c>
      <c r="C24" s="237">
        <f>CONCATENATE($D$2&amp;"-",B24)</f>
        <v/>
      </c>
      <c r="D24" s="185" t="inlineStr">
        <is>
          <t>Financial Ratio Agent</t>
        </is>
      </c>
      <c r="E24" s="188" t="inlineStr">
        <is>
          <t>Implement the agent adapter that requests normalized financial inputs, invokes deterministic ratio tools, and returns ratio results with source-field references.</t>
        </is>
      </c>
      <c r="F24" s="665">
        <f>SUM(G24:K24)</f>
        <v/>
      </c>
      <c r="G24" s="665" t="n">
        <v>6</v>
      </c>
      <c r="H24" s="666" t="n"/>
      <c r="I24" s="665">
        <f>SUM(G24:H24)*'4. Master Data'!$C$5</f>
        <v/>
      </c>
      <c r="J24" s="665">
        <f>SUM(G24:H24)*'4. Master Data'!$C$7</f>
        <v/>
      </c>
      <c r="K24" s="665">
        <f>SUM(G24:J24)*'4. Master Data'!$C$4</f>
        <v/>
      </c>
      <c r="L24" s="143" t="inlineStr">
        <is>
          <t>Agent-specific backend work</t>
        </is>
      </c>
      <c r="M24" s="199" t="n">
        <v>4</v>
      </c>
      <c r="N24" s="225" t="n">
        <v>6</v>
      </c>
      <c r="O24" s="199" t="n">
        <v>8</v>
      </c>
      <c r="P24" s="199" t="n">
        <v>6</v>
      </c>
      <c r="Q24" s="199" t="n">
        <v>6.5613</v>
      </c>
      <c r="R24" s="199" t="inlineStr">
        <is>
          <t>Agent invokes only registered ratio tools; Outputs include ratio IDs and source references; Missing-input path is handled deterministically</t>
        </is>
      </c>
      <c r="S24" s="199" t="n"/>
      <c r="T24" s="199" t="n"/>
      <c r="U24" s="199" t="n"/>
      <c r="V24" s="199" t="n"/>
      <c r="W24" s="199" t="n"/>
      <c r="X24" s="199" t="n"/>
    </row>
    <row r="25" outlineLevel="1" ht="27.6" customFormat="1" customHeight="1" s="192">
      <c r="A25" s="382" t="n"/>
      <c r="B25" s="236" t="n">
        <v>9</v>
      </c>
      <c r="C25" s="237">
        <f>CONCATENATE($D$2&amp;"-",B25)</f>
        <v/>
      </c>
      <c r="D25" s="185" t="inlineStr">
        <is>
          <t>Health Evaluation Agent</t>
        </is>
      </c>
      <c r="E25" s="188" t="inlineStr">
        <is>
          <t>Implement health-band evaluation agent that consumes computed ratios and rule outcomes, identifies drivers, and emits structured health findings.</t>
        </is>
      </c>
      <c r="F25" s="665">
        <f>SUM(G25:K25)</f>
        <v/>
      </c>
      <c r="G25" s="665" t="n">
        <v>5</v>
      </c>
      <c r="H25" s="666" t="n"/>
      <c r="I25" s="665">
        <f>SUM(G25:H25)*'4. Master Data'!$C$5</f>
        <v/>
      </c>
      <c r="J25" s="665">
        <f>SUM(G25:H25)*'4. Master Data'!$C$7</f>
        <v/>
      </c>
      <c r="K25" s="665">
        <f>SUM(G25:J25)*'4. Master Data'!$C$4</f>
        <v/>
      </c>
      <c r="L25" s="143" t="inlineStr">
        <is>
          <t>Agent-specific backend work</t>
        </is>
      </c>
      <c r="M25" s="199" t="n">
        <v>3</v>
      </c>
      <c r="N25" s="225" t="n">
        <v>5</v>
      </c>
      <c r="O25" s="199" t="n">
        <v>7</v>
      </c>
      <c r="P25" s="199" t="n">
        <v>5</v>
      </c>
      <c r="Q25" s="199" t="n">
        <v>5.5613</v>
      </c>
      <c r="R25" s="199" t="inlineStr">
        <is>
          <t>Health findings conform to schema; Each finding links to ratio/rule evidence; Threshold and exception cases are tested</t>
        </is>
      </c>
      <c r="S25" s="199" t="n"/>
      <c r="T25" s="199" t="n"/>
      <c r="U25" s="199" t="n"/>
      <c r="V25" s="199" t="n"/>
      <c r="W25" s="199" t="n"/>
      <c r="X25" s="199" t="n"/>
    </row>
    <row r="26" ht="27.6" customFormat="1" customHeight="1" s="192">
      <c r="A26" s="382" t="n"/>
      <c r="B26" s="236" t="n">
        <v>10</v>
      </c>
      <c r="C26" s="237">
        <f>CONCATENATE($D$2&amp;"-",B26)</f>
        <v/>
      </c>
      <c r="D26" s="185" t="inlineStr">
        <is>
          <t>Reference-Check Agent</t>
        </is>
      </c>
      <c r="E26" s="188" t="inlineStr">
        <is>
          <t>Implement dependency/reference lookup agent using evidence search and graph queries to compare declared relationships against retrieved records.</t>
        </is>
      </c>
      <c r="F26" s="665">
        <f>SUM(G26:K26)</f>
        <v/>
      </c>
      <c r="G26" s="665" t="n">
        <v>5</v>
      </c>
      <c r="H26" s="666" t="n"/>
      <c r="I26" s="665">
        <f>SUM(G26:H26)*'4. Master Data'!$C$5</f>
        <v/>
      </c>
      <c r="J26" s="665">
        <f>SUM(G26:H26)*'4. Master Data'!$C$7</f>
        <v/>
      </c>
      <c r="K26" s="665">
        <f>SUM(G26:J26)*'4. Master Data'!$C$4</f>
        <v/>
      </c>
      <c r="L26" s="143" t="inlineStr">
        <is>
          <t>Agent-specific backend work</t>
        </is>
      </c>
      <c r="M26" s="199" t="n">
        <v>3</v>
      </c>
      <c r="N26" s="199" t="n">
        <v>5</v>
      </c>
      <c r="O26" s="199" t="n">
        <v>7</v>
      </c>
      <c r="P26" s="199" t="n">
        <v>5</v>
      </c>
      <c r="Q26" s="199" t="n">
        <v>5.5613</v>
      </c>
      <c r="R26" s="199" t="inlineStr">
        <is>
          <t>Reference queries return ranked evidence; Neo4j relationship checks are represented in output; No-evidence result is explicit and non-hallucinatory</t>
        </is>
      </c>
      <c r="S26" s="199" t="n"/>
      <c r="T26" s="199" t="n"/>
      <c r="U26" s="199" t="n"/>
      <c r="V26" s="199" t="n"/>
      <c r="W26" s="199" t="n"/>
      <c r="X26" s="199" t="n"/>
    </row>
    <row r="27" ht="27.6" customFormat="1" customHeight="1" s="192">
      <c r="A27" s="382" t="n"/>
      <c r="B27" s="236" t="n">
        <v>11</v>
      </c>
      <c r="C27" s="237">
        <f>CONCATENATE($D$2&amp;"-",B27)</f>
        <v/>
      </c>
      <c r="D27" s="185" t="inlineStr">
        <is>
          <t>Industry Benchmark Agent</t>
        </is>
      </c>
      <c r="E27" s="188" t="inlineStr">
        <is>
          <t>Implement benchmark retrieval agent that selects governed peer sets, applies period/industry filters, and returns comparable metrics with coverage metadata.</t>
        </is>
      </c>
      <c r="F27" s="665">
        <f>SUM(G27:K27)</f>
        <v/>
      </c>
      <c r="G27" s="665" t="n">
        <v>5</v>
      </c>
      <c r="H27" s="666" t="n"/>
      <c r="I27" s="665">
        <f>SUM(G27:H27)*'4. Master Data'!$C$5</f>
        <v/>
      </c>
      <c r="J27" s="665">
        <f>SUM(G27:H27)*'4. Master Data'!$C$7</f>
        <v/>
      </c>
      <c r="K27" s="665">
        <f>SUM(G27:J27)*'4. Master Data'!$C$4</f>
        <v/>
      </c>
      <c r="L27" s="143" t="inlineStr">
        <is>
          <t>Agent-specific backend work</t>
        </is>
      </c>
      <c r="M27" s="199" t="n">
        <v>3</v>
      </c>
      <c r="N27" s="380" t="n">
        <v>5</v>
      </c>
      <c r="O27" s="199" t="n">
        <v>7</v>
      </c>
      <c r="P27" s="199" t="n">
        <v>5</v>
      </c>
      <c r="Q27" s="199" t="n">
        <v>5.5613</v>
      </c>
      <c r="R27" s="199" t="inlineStr">
        <is>
          <t>Peer selection uses approved governance rules; Benchmark outputs include period and coverage fields; Out-of-coverage behavior is tested</t>
        </is>
      </c>
      <c r="S27" s="199" t="n"/>
      <c r="T27" s="199" t="n"/>
      <c r="U27" s="199" t="n"/>
      <c r="V27" s="199" t="n"/>
      <c r="W27" s="199" t="n"/>
      <c r="X27" s="199" t="n"/>
    </row>
    <row r="28" outlineLevel="1" ht="27.6" customFormat="1" customHeight="1" s="192">
      <c r="A28" s="382" t="n"/>
      <c r="B28" s="236" t="n">
        <v>12</v>
      </c>
      <c r="C28" s="237">
        <f>CONCATENATE($D$2&amp;"-",B28)</f>
        <v/>
      </c>
      <c r="D28" s="185" t="inlineStr">
        <is>
          <t>Explanation &amp; Note Agent</t>
        </is>
      </c>
      <c r="E28" s="188" t="inlineStr">
        <is>
          <t>Implement evidence-grounded explanation and analyst-note generation with citations, confidence/limitations, and editable note sections.</t>
        </is>
      </c>
      <c r="F28" s="665">
        <f>SUM(G28:K28)</f>
        <v/>
      </c>
      <c r="G28" s="665" t="n">
        <v>5</v>
      </c>
      <c r="H28" s="666" t="n"/>
      <c r="I28" s="665">
        <f>SUM(G28:H28)*'4. Master Data'!$C$5</f>
        <v/>
      </c>
      <c r="J28" s="665">
        <f>SUM(G28:H28)*'4. Master Data'!$C$7</f>
        <v/>
      </c>
      <c r="K28" s="665">
        <f>SUM(G28:J28)*'4. Master Data'!$C$4</f>
        <v/>
      </c>
      <c r="L28" s="143" t="inlineStr">
        <is>
          <t>Agent-specific backend work</t>
        </is>
      </c>
      <c r="M28" s="199" t="n">
        <v>3</v>
      </c>
      <c r="N28" s="225" t="n">
        <v>5</v>
      </c>
      <c r="O28" s="199" t="n">
        <v>7</v>
      </c>
      <c r="P28" s="199" t="n">
        <v>5</v>
      </c>
      <c r="Q28" s="199" t="n">
        <v>5.5613</v>
      </c>
      <c r="R28" s="199" t="inlineStr">
        <is>
          <t>Every explanation claim has evidence references or limitation text; Note schema validates; Prompt-injection and unsupported-claim fixtures are rejected</t>
        </is>
      </c>
      <c r="S28" s="199" t="n"/>
      <c r="T28" s="199" t="n"/>
      <c r="U28" s="199" t="n"/>
      <c r="V28" s="199" t="n"/>
      <c r="W28" s="199" t="n"/>
      <c r="X28" s="199" t="n"/>
    </row>
    <row r="29" outlineLevel="1" ht="27.6" customFormat="1" customHeight="1" s="192">
      <c r="A29" s="382" t="n"/>
      <c r="B29" s="236" t="n">
        <v>13</v>
      </c>
      <c r="C29" s="237">
        <f>CONCATENATE($D$2&amp;"-",B29)</f>
        <v/>
      </c>
      <c r="D29" s="185" t="inlineStr">
        <is>
          <t>Recommendation Support Agent</t>
        </is>
      </c>
      <c r="E29" s="188" t="inlineStr">
        <is>
          <t>Implement recommendation-support agent that turns validated findings into prioritized support points, assumptions, and analyst follow-up questions; it does not make autonomous credit decisions.</t>
        </is>
      </c>
      <c r="F29" s="665">
        <f>SUM(G29:K29)</f>
        <v/>
      </c>
      <c r="G29" s="665" t="n">
        <v>4</v>
      </c>
      <c r="H29" s="666" t="n"/>
      <c r="I29" s="665">
        <f>SUM(G29:H29)*'4. Master Data'!$C$5</f>
        <v/>
      </c>
      <c r="J29" s="665">
        <f>SUM(G29:H29)*'4. Master Data'!$C$7</f>
        <v/>
      </c>
      <c r="K29" s="665">
        <f>SUM(G29:J29)*'4. Master Data'!$C$4</f>
        <v/>
      </c>
      <c r="L29" s="143" t="inlineStr">
        <is>
          <t>Decision support only; human analyst remains accountable</t>
        </is>
      </c>
      <c r="M29" s="199" t="n">
        <v>3</v>
      </c>
      <c r="N29" s="225" t="n">
        <v>4</v>
      </c>
      <c r="O29" s="199" t="n">
        <v>6</v>
      </c>
      <c r="P29" s="199" t="n">
        <v>4.1667</v>
      </c>
      <c r="Q29" s="199" t="n">
        <v>4.5877</v>
      </c>
      <c r="R29" s="199" t="inlineStr">
        <is>
          <t>Recommendations link to validated findings; Assumptions and follow-up questions are explicit; Autonomous approval/decline output is impossible</t>
        </is>
      </c>
      <c r="S29" s="199" t="n"/>
      <c r="T29" s="199" t="n"/>
      <c r="U29" s="199" t="n"/>
      <c r="V29" s="199" t="n"/>
      <c r="W29" s="199" t="n"/>
      <c r="X29" s="199" t="n"/>
    </row>
    <row r="30" ht="27.6" customFormat="1" customHeight="1" s="192">
      <c r="A30" s="382" t="n"/>
      <c r="B30" s="236" t="n">
        <v>14</v>
      </c>
      <c r="C30" s="237">
        <f>CONCATENATE($D$2&amp;"-",B30)</f>
        <v/>
      </c>
      <c r="D30" s="185" t="inlineStr">
        <is>
          <t>Tool Gateway and Output Validator</t>
        </is>
      </c>
      <c r="E30" s="188" t="inlineStr">
        <is>
          <t>Implement authenticated tool registry, request/response envelopes, schema validation, provenance propagation, allowlists, and final output validation before analyst delivery.</t>
        </is>
      </c>
      <c r="F30" s="665">
        <f>SUM(G30:K30)</f>
        <v/>
      </c>
      <c r="G30" s="665" t="n">
        <v>6</v>
      </c>
      <c r="H30" s="666" t="n"/>
      <c r="I30" s="665">
        <f>SUM(G30:H30)*'4. Master Data'!$C$5</f>
        <v/>
      </c>
      <c r="J30" s="665">
        <f>SUM(G30:H30)*'4. Master Data'!$C$7</f>
        <v/>
      </c>
      <c r="K30" s="665">
        <f>SUM(G30:J30)*'4. Master Data'!$C$4</f>
        <v/>
      </c>
      <c r="L30" s="143" t="inlineStr">
        <is>
          <t>Shared gateway and safety boundary</t>
        </is>
      </c>
      <c r="M30" s="199" t="n">
        <v>4</v>
      </c>
      <c r="N30" t="n">
        <v>6</v>
      </c>
      <c r="O30" s="199" t="n">
        <v>8</v>
      </c>
      <c r="P30" s="199" t="n">
        <v>6</v>
      </c>
      <c r="Q30" s="199" t="n">
        <v>6.5613</v>
      </c>
      <c r="R30" s="199" t="inlineStr">
        <is>
          <t>Only allowlisted tools can be called; Malformed tool/result payloads are rejected; Validated output contains provenance and audit correlation ID</t>
        </is>
      </c>
      <c r="S30" s="199" t="n"/>
      <c r="T30" s="199" t="n"/>
      <c r="U30" s="199" t="n"/>
      <c r="V30" s="199" t="n"/>
      <c r="W30" s="199" t="n"/>
      <c r="X30" s="199" t="n"/>
    </row>
    <row r="31" ht="15.6" customFormat="1" customHeight="1" s="192">
      <c r="A31" s="382" t="n"/>
      <c r="B31" s="236" t="n"/>
      <c r="C31" s="243" t="n"/>
      <c r="D31" s="244" t="n"/>
      <c r="E31" s="245" t="n"/>
      <c r="F31" s="665" t="n"/>
      <c r="G31" s="665" t="n"/>
      <c r="H31" s="666" t="n"/>
      <c r="I31" s="665" t="n"/>
      <c r="J31" s="665" t="n"/>
      <c r="K31" s="665" t="n"/>
      <c r="L31" s="143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</row>
    <row r="32" ht="15.6" customFormat="1" customHeight="1" s="192">
      <c r="A32" s="382" t="inlineStr">
        <is>
          <t>B</t>
        </is>
      </c>
      <c r="B32" s="240" t="inlineStr">
        <is>
          <t>II.B</t>
        </is>
      </c>
      <c r="C32" s="230" t="inlineStr">
        <is>
          <t>Deterministic Financial-Ratio &amp; Rule Logic</t>
        </is>
      </c>
      <c r="D32" s="230" t="n"/>
      <c r="E32" s="231" t="n"/>
      <c r="F32" s="662">
        <f>SUM(G32:K32)</f>
        <v/>
      </c>
      <c r="G32" s="662">
        <f>SUM(G33:G36)</f>
        <v/>
      </c>
      <c r="H32" s="662">
        <f>SUM(H33:H36)</f>
        <v/>
      </c>
      <c r="I32" s="662">
        <f>SUM(I33:I36)</f>
        <v/>
      </c>
      <c r="J32" s="662">
        <f>SUM(J33:J36)</f>
        <v/>
      </c>
      <c r="K32" s="662">
        <f>SUM(K33:K36)</f>
        <v/>
      </c>
      <c r="L32" s="143" t="n"/>
      <c r="M32" s="199" t="n"/>
      <c r="N32" s="380" t="n"/>
      <c r="O32" s="199" t="n"/>
      <c r="P32" s="199" t="n"/>
      <c r="Q32" s="199" t="n"/>
      <c r="R32" s="199" t="n"/>
      <c r="S32" s="199" t="n"/>
      <c r="T32" s="199" t="n"/>
      <c r="U32" s="199" t="n"/>
      <c r="V32" s="199" t="n"/>
      <c r="W32" s="199" t="n"/>
      <c r="X32" s="199" t="n"/>
    </row>
    <row r="33" outlineLevel="1" ht="15.6" customFormat="1" customHeight="1" s="192">
      <c r="A33" s="382" t="n">
        <v>1</v>
      </c>
      <c r="B33" s="242" t="n"/>
      <c r="C33" s="242" t="inlineStr">
        <is>
          <t>Deterministic logic</t>
        </is>
      </c>
      <c r="D33" s="249" t="n"/>
      <c r="E33" s="238" t="n"/>
      <c r="F33" s="663" t="n"/>
      <c r="G33" s="664" t="n"/>
      <c r="H33" s="664" t="n"/>
      <c r="I33" s="664" t="n"/>
      <c r="J33" s="664" t="n"/>
      <c r="K33" s="664" t="n"/>
      <c r="L33" s="660" t="n"/>
      <c r="M33" s="199" t="n"/>
      <c r="N33" s="199" t="n"/>
      <c r="O33" s="199" t="n"/>
      <c r="P33" s="199" t="n"/>
      <c r="Q33" s="199" t="n"/>
      <c r="R33" s="199" t="n"/>
      <c r="S33" s="199" t="n"/>
      <c r="T33" s="199" t="n"/>
      <c r="U33" s="199" t="n"/>
      <c r="V33" s="199" t="n"/>
      <c r="W33" s="199" t="n"/>
      <c r="X33" s="199" t="n"/>
    </row>
    <row r="34" outlineLevel="1" ht="27.6" customFormat="1" customHeight="1" s="192">
      <c r="A34" s="382" t="n"/>
      <c r="B34" s="236" t="n">
        <v>15</v>
      </c>
      <c r="C34" s="237">
        <f>CONCATENATE($D$2&amp;"-",B34)</f>
        <v/>
      </c>
      <c r="D34" s="185" t="inlineStr">
        <is>
          <t>Deterministic financial ratio calculation library</t>
        </is>
      </c>
      <c r="E34" s="188" t="inlineStr">
        <is>
          <t>Implement versioned ratio formulas, input normalization, denominator/zero handling, rounding, and calculation trace records for the approved ratio catalog.</t>
        </is>
      </c>
      <c r="F34" s="665">
        <f>SUM(G34:K34)</f>
        <v/>
      </c>
      <c r="G34" s="665" t="n">
        <v>6</v>
      </c>
      <c r="H34" s="666" t="n"/>
      <c r="I34" s="665">
        <f>SUM(G34:H34)*'4. Master Data'!$C$5</f>
        <v/>
      </c>
      <c r="J34" s="665">
        <f>SUM(G34:H34)*'4. Master Data'!$C$7</f>
        <v/>
      </c>
      <c r="K34" s="665">
        <f>SUM(G34:J34)*'4. Master Data'!$C$4</f>
        <v/>
      </c>
      <c r="L34" s="143" t="inlineStr">
        <is>
          <t>No LLM arithmetic; deterministic backend logic</t>
        </is>
      </c>
      <c r="M34" s="199" t="n">
        <v>4</v>
      </c>
      <c r="N34" s="199" t="n">
        <v>6</v>
      </c>
      <c r="O34" s="199" t="n">
        <v>8</v>
      </c>
      <c r="P34" s="199" t="n">
        <v>6</v>
      </c>
      <c r="Q34" s="199" t="n">
        <v>6.5613</v>
      </c>
      <c r="R34" s="199" t="inlineStr">
        <is>
          <t>Golden test vectors pass; Formula version and inputs are recorded; Invalid/zero denominator behavior is deterministic</t>
        </is>
      </c>
      <c r="S34" s="199" t="n"/>
      <c r="T34" s="199" t="n"/>
      <c r="U34" s="199" t="n"/>
      <c r="V34" s="199" t="n"/>
      <c r="W34" s="199" t="n"/>
      <c r="X34" s="199" t="n"/>
    </row>
    <row r="35" ht="27.6" customFormat="1" customHeight="1" s="192">
      <c r="A35" s="382" t="n"/>
      <c r="B35" s="236" t="n">
        <v>16</v>
      </c>
      <c r="C35" s="237">
        <f>CONCATENATE($D$2&amp;"-",B35)</f>
        <v/>
      </c>
      <c r="D35" s="185" t="inlineStr">
        <is>
          <t>Deterministic health bands and rule engine</t>
        </is>
      </c>
      <c r="E35" s="188" t="inlineStr">
        <is>
          <t>Implement configurable threshold rules, precedence, severity mapping, exception rules, and rule-evaluation evidence for health classification.</t>
        </is>
      </c>
      <c r="F35" s="665">
        <f>SUM(G35:K35)</f>
        <v/>
      </c>
      <c r="G35" s="665" t="n">
        <v>5</v>
      </c>
      <c r="H35" s="666" t="n"/>
      <c r="I35" s="665">
        <f>SUM(G35:H35)*'4. Master Data'!$C$5</f>
        <v/>
      </c>
      <c r="J35" s="665">
        <f>SUM(G35:H35)*'4. Master Data'!$C$7</f>
        <v/>
      </c>
      <c r="K35" s="665">
        <f>SUM(G35:J35)*'4. Master Data'!$C$4</f>
        <v/>
      </c>
      <c r="L35" s="143" t="inlineStr">
        <is>
          <t>Rules execute outside the model</t>
        </is>
      </c>
      <c r="M35" s="199" t="n">
        <v>3</v>
      </c>
      <c r="N35" s="199" t="n">
        <v>5</v>
      </c>
      <c r="O35" s="199" t="n">
        <v>7</v>
      </c>
      <c r="P35" s="199" t="n">
        <v>5</v>
      </c>
      <c r="Q35" s="199" t="n">
        <v>5.5613</v>
      </c>
      <c r="R35" s="199" t="inlineStr">
        <is>
          <t>Threshold boundary tests pass; Rule version and precedence are traceable; Rule outcomes expose reasons and evidence</t>
        </is>
      </c>
      <c r="S35" s="199" t="n"/>
      <c r="T35" s="199" t="n"/>
      <c r="U35" s="199" t="n"/>
      <c r="V35" s="199" t="n"/>
      <c r="W35" s="199" t="n"/>
      <c r="X35" s="199" t="n"/>
    </row>
    <row r="36" ht="27.6" customFormat="1" customHeight="1" s="192">
      <c r="A36" s="382" t="n"/>
      <c r="B36" s="236" t="n">
        <v>17</v>
      </c>
      <c r="C36" s="237">
        <f>CONCATENATE($D$2&amp;"-",B36)</f>
        <v/>
      </c>
      <c r="D36" s="185" t="inlineStr">
        <is>
          <t>Financial input normalization and validation</t>
        </is>
      </c>
      <c r="E36" s="188" t="inlineStr">
        <is>
          <t>Implement typed ingestion of financial statement fields, unit/period normalization, required-field checks, and structured data-quality errors.</t>
        </is>
      </c>
      <c r="F36" s="665">
        <f>SUM(G36:K36)</f>
        <v/>
      </c>
      <c r="G36" s="665" t="n">
        <v>4</v>
      </c>
      <c r="H36" s="666" t="n"/>
      <c r="I36" s="665">
        <f>SUM(G36:H36)*'4. Master Data'!$C$5</f>
        <v/>
      </c>
      <c r="J36" s="665">
        <f>SUM(G36:H36)*'4. Master Data'!$C$7</f>
        <v/>
      </c>
      <c r="K36" s="665">
        <f>SUM(G36:J36)*'4. Master Data'!$C$4</f>
        <v/>
      </c>
      <c r="L36" s="143" t="inlineStr">
        <is>
          <t>Backend-only deterministic validation</t>
        </is>
      </c>
      <c r="M36" s="199" t="n">
        <v>3</v>
      </c>
      <c r="N36" s="380" t="n">
        <v>4</v>
      </c>
      <c r="O36" s="199" t="n">
        <v>6</v>
      </c>
      <c r="P36" s="199" t="n">
        <v>4.1667</v>
      </c>
      <c r="Q36" s="199" t="n">
        <v>4.5877</v>
      </c>
      <c r="R36" s="199" t="inlineStr">
        <is>
          <t>Units and periods normalize consistently; Required-field and quality errors are structured; Normalized fixtures feed ratio golden tests</t>
        </is>
      </c>
      <c r="S36" s="199" t="n"/>
      <c r="T36" s="199" t="n"/>
      <c r="U36" s="199" t="n"/>
      <c r="V36" s="199" t="n"/>
      <c r="W36" s="199" t="n"/>
      <c r="X36" s="199" t="n"/>
    </row>
    <row r="37" outlineLevel="1" customFormat="1" s="192">
      <c r="A37" s="382" t="n"/>
      <c r="B37" s="236" t="n"/>
      <c r="C37" s="243" t="n"/>
      <c r="D37" s="244" t="n"/>
      <c r="E37" s="245" t="n"/>
      <c r="F37" s="665" t="n"/>
      <c r="G37" s="665" t="n"/>
      <c r="H37" s="666" t="n"/>
      <c r="I37" s="665" t="n"/>
      <c r="J37" s="665" t="n"/>
      <c r="K37" s="665" t="n"/>
      <c r="L37" s="143" t="n"/>
      <c r="M37" s="199" t="n"/>
      <c r="N37" s="199" t="n"/>
      <c r="O37" s="199" t="n"/>
      <c r="P37" s="199" t="n"/>
      <c r="Q37" s="199" t="n"/>
      <c r="R37" s="199" t="n"/>
      <c r="S37" s="199" t="n"/>
      <c r="T37" s="199" t="n"/>
      <c r="U37" s="199" t="n"/>
      <c r="V37" s="199" t="n"/>
      <c r="W37" s="199" t="n"/>
      <c r="X37" s="199" t="n"/>
    </row>
    <row r="38" outlineLevel="1" ht="15.6" customFormat="1" customHeight="1" s="192">
      <c r="A38" s="382" t="inlineStr">
        <is>
          <t>C</t>
        </is>
      </c>
      <c r="B38" s="240" t="inlineStr">
        <is>
          <t>II.C</t>
        </is>
      </c>
      <c r="C38" s="230" t="inlineStr">
        <is>
          <t>Knowledge &amp; Evidence</t>
        </is>
      </c>
      <c r="D38" s="230" t="n"/>
      <c r="E38" s="231" t="n"/>
      <c r="F38" s="662">
        <f>SUM(G38:K38)</f>
        <v/>
      </c>
      <c r="G38" s="662">
        <f>SUM(G39:G42)</f>
        <v/>
      </c>
      <c r="H38" s="662">
        <f>SUM(H39:H42)</f>
        <v/>
      </c>
      <c r="I38" s="662">
        <f>SUM(I39:I42)</f>
        <v/>
      </c>
      <c r="J38" s="662">
        <f>SUM(J39:J42)</f>
        <v/>
      </c>
      <c r="K38" s="662">
        <f>SUM(K39:K42)</f>
        <v/>
      </c>
      <c r="L38" s="143" t="n"/>
      <c r="M38" s="199" t="n"/>
      <c r="N38" s="199" t="n"/>
      <c r="O38" s="199" t="n"/>
      <c r="P38" s="199" t="n"/>
      <c r="Q38" s="199" t="n"/>
      <c r="R38" s="199" t="n"/>
      <c r="S38" s="199" t="n"/>
      <c r="T38" s="199" t="n"/>
      <c r="U38" s="199" t="n"/>
      <c r="V38" s="199" t="n"/>
      <c r="W38" s="199" t="n"/>
      <c r="X38" s="199" t="n"/>
    </row>
    <row r="39" ht="15.6" customFormat="1" customHeight="1" s="192">
      <c r="A39" s="382" t="n">
        <v>1</v>
      </c>
      <c r="B39" s="242" t="n"/>
      <c r="C39" s="242" t="inlineStr">
        <is>
          <t>Vector DB + Neo4j evidence</t>
        </is>
      </c>
      <c r="D39" s="249" t="n"/>
      <c r="E39" s="238" t="n"/>
      <c r="F39" s="663" t="n"/>
      <c r="G39" s="664" t="n"/>
      <c r="H39" s="664" t="n"/>
      <c r="I39" s="664" t="n"/>
      <c r="J39" s="664" t="n"/>
      <c r="K39" s="664" t="n"/>
      <c r="L39" s="660" t="n"/>
      <c r="M39" s="199" t="n"/>
      <c r="N39" s="199" t="n"/>
      <c r="O39" s="199" t="n"/>
      <c r="P39" s="199" t="n"/>
      <c r="Q39" s="199" t="n"/>
      <c r="R39" s="199" t="n"/>
      <c r="S39" s="199" t="n"/>
      <c r="T39" s="199" t="n"/>
      <c r="U39" s="199" t="n"/>
      <c r="V39" s="199" t="n"/>
      <c r="W39" s="199" t="n"/>
      <c r="X39" s="199" t="n"/>
    </row>
    <row r="40" ht="27.6" customFormat="1" customHeight="1" s="192">
      <c r="A40" s="382" t="n"/>
      <c r="B40" s="236" t="n">
        <v>18</v>
      </c>
      <c r="C40" s="237">
        <f>CONCATENATE($D$2&amp;"-",B40)</f>
        <v/>
      </c>
      <c r="D40" s="185" t="inlineStr">
        <is>
          <t>Evidence document ingestion and chunk metadata</t>
        </is>
      </c>
      <c r="E40" s="188" t="inlineStr">
        <is>
          <t>Implement MinIO document retrieval, parsing/chunking metadata, source identifiers, period/company tags, and ingestion status tracking.</t>
        </is>
      </c>
      <c r="F40" s="665">
        <f>SUM(G40:K40)</f>
        <v/>
      </c>
      <c r="G40" s="665" t="n">
        <v>4</v>
      </c>
      <c r="H40" s="666" t="n"/>
      <c r="I40" s="665">
        <f>SUM(G40:H40)*'4. Master Data'!$C$5</f>
        <v/>
      </c>
      <c r="J40" s="665">
        <f>SUM(G40:H40)*'4. Master Data'!$C$7</f>
        <v/>
      </c>
      <c r="K40" s="665">
        <f>SUM(G40:J40)*'4. Master Data'!$C$4</f>
        <v/>
      </c>
      <c r="L40" s="143" t="inlineStr">
        <is>
          <t>Evidence backend only</t>
        </is>
      </c>
      <c r="M40" s="199" t="n">
        <v>3</v>
      </c>
      <c r="N40" s="199" t="n">
        <v>4</v>
      </c>
      <c r="O40" s="199" t="n">
        <v>6</v>
      </c>
      <c r="P40" s="199" t="n">
        <v>4.1667</v>
      </c>
      <c r="Q40" s="199" t="n">
        <v>4.5877</v>
      </c>
      <c r="R40" s="199" t="inlineStr">
        <is>
          <t>Documents produce stable chunk/source IDs; Ingestion failures are retryable and observable; Metadata supports company and period filtering</t>
        </is>
      </c>
      <c r="S40" s="199" t="n"/>
      <c r="T40" s="199" t="n"/>
      <c r="U40" s="199" t="n"/>
      <c r="V40" s="199" t="n"/>
      <c r="W40" s="199" t="n"/>
      <c r="X40" s="199" t="n"/>
    </row>
    <row r="41" ht="27.6" customFormat="1" customHeight="1" s="192">
      <c r="A41" s="382" t="n"/>
      <c r="B41" s="236" t="n">
        <v>19</v>
      </c>
      <c r="C41" s="237">
        <f>CONCATENATE($D$2&amp;"-",B41)</f>
        <v/>
      </c>
      <c r="D41" s="185" t="inlineStr">
        <is>
          <t>Vector DB retrieval and provenance service</t>
        </is>
      </c>
      <c r="E41" s="188" t="inlineStr">
        <is>
          <t>Implement embedding-service/Qdrant indexing and similarity retrieval with filters, citation spans, source ranking, and provenance-preserving response objects.</t>
        </is>
      </c>
      <c r="F41" s="665">
        <f>SUM(G41:K41)</f>
        <v/>
      </c>
      <c r="G41" s="665" t="n">
        <v>5</v>
      </c>
      <c r="H41" s="666" t="n"/>
      <c r="I41" s="665">
        <f>SUM(G41:H41)*'4. Master Data'!$C$5</f>
        <v/>
      </c>
      <c r="J41" s="665">
        <f>SUM(G41:H41)*'4. Master Data'!$C$7</f>
        <v/>
      </c>
      <c r="K41" s="665">
        <f>SUM(G41:J41)*'4. Master Data'!$C$4</f>
        <v/>
      </c>
      <c r="L41" s="143" t="inlineStr">
        <is>
          <t>Qdrant integration; no frontend/mobile coding</t>
        </is>
      </c>
      <c r="M41" s="199" t="n">
        <v>3</v>
      </c>
      <c r="N41" s="380" t="n">
        <v>5</v>
      </c>
      <c r="O41" s="199" t="n">
        <v>7</v>
      </c>
      <c r="P41" s="199" t="n">
        <v>5</v>
      </c>
      <c r="Q41" s="199" t="n">
        <v>5.5613</v>
      </c>
      <c r="R41" s="199" t="inlineStr">
        <is>
          <t>Indexed fixtures are retrievable by semantic and metadata filters; Results include source spans and scores; Provenance survives tool gateway validation</t>
        </is>
      </c>
      <c r="S41" s="199" t="n"/>
      <c r="T41" s="199" t="n"/>
      <c r="U41" s="199" t="n"/>
      <c r="V41" s="199" t="n"/>
      <c r="W41" s="199" t="n"/>
      <c r="X41" s="199" t="n"/>
    </row>
    <row r="42" outlineLevel="1" ht="27.6" customFormat="1" customHeight="1" s="192">
      <c r="A42" s="382" t="n"/>
      <c r="B42" s="236" t="n">
        <v>20</v>
      </c>
      <c r="C42" s="237">
        <f>CONCATENATE($D$2&amp;"-",B42)</f>
        <v/>
      </c>
      <c r="D42" s="185" t="inlineStr">
        <is>
          <t>Neo4j evidence graph and relationship queries</t>
        </is>
      </c>
      <c r="E42" s="188" t="inlineStr">
        <is>
          <t>Implement graph entities/relationships for companies, documents, references, and dependencies plus parameterized reference-check queries and graph backup metadata.</t>
        </is>
      </c>
      <c r="F42" s="665">
        <f>SUM(G42:K42)</f>
        <v/>
      </c>
      <c r="G42" s="665" t="n">
        <v>4</v>
      </c>
      <c r="H42" s="666" t="n"/>
      <c r="I42" s="665">
        <f>SUM(G42:H42)*'4. Master Data'!$C$5</f>
        <v/>
      </c>
      <c r="J42" s="665">
        <f>SUM(G42:H42)*'4. Master Data'!$C$7</f>
        <v/>
      </c>
      <c r="K42" s="665">
        <f>SUM(G42:J42)*'4. Master Data'!$C$4</f>
        <v/>
      </c>
      <c r="L42" s="143" t="inlineStr">
        <is>
          <t>Neo4j evidence backend only</t>
        </is>
      </c>
      <c r="M42" s="199" t="n">
        <v>3</v>
      </c>
      <c r="N42" s="199" t="n">
        <v>4</v>
      </c>
      <c r="O42" s="199" t="n">
        <v>6</v>
      </c>
      <c r="P42" s="199" t="n">
        <v>4.1667</v>
      </c>
      <c r="Q42" s="199" t="n">
        <v>4.5877</v>
      </c>
      <c r="R42" s="199" t="inlineStr">
        <is>
          <t>Graph constraints and seed fixtures load; Reference queries return explainable paths; Graph evidence IDs map to source records</t>
        </is>
      </c>
      <c r="S42" s="199" t="n"/>
      <c r="T42" s="199" t="n"/>
      <c r="U42" s="199" t="n"/>
      <c r="V42" s="199" t="n"/>
      <c r="W42" s="199" t="n"/>
      <c r="X42" s="199" t="n"/>
    </row>
    <row r="43" outlineLevel="1" ht="27.6" customFormat="1" customHeight="1" s="192">
      <c r="A43" s="382" t="n"/>
      <c r="B43" s="236" t="n"/>
      <c r="C43" s="243" t="n"/>
      <c r="D43" s="244" t="n"/>
      <c r="E43" s="245" t="n"/>
      <c r="F43" s="665" t="n"/>
      <c r="G43" s="665" t="n"/>
      <c r="H43" s="666" t="n"/>
      <c r="I43" s="665" t="n"/>
      <c r="J43" s="665" t="n"/>
      <c r="K43" s="665" t="n"/>
      <c r="L43" s="143" t="n"/>
      <c r="M43" s="199" t="n"/>
      <c r="N43" s="199" t="n"/>
      <c r="O43" s="199" t="n"/>
      <c r="P43" s="199" t="n"/>
      <c r="Q43" s="199" t="n"/>
      <c r="R43" s="199" t="n"/>
      <c r="S43" s="199" t="n"/>
      <c r="T43" s="199" t="n"/>
      <c r="U43" s="199" t="n"/>
      <c r="V43" s="199" t="n"/>
      <c r="W43" s="199" t="n"/>
      <c r="X43" s="199" t="n"/>
    </row>
    <row r="44" outlineLevel="1" ht="15.6" customFormat="1" customHeight="1" s="192">
      <c r="A44" s="382" t="inlineStr">
        <is>
          <t>D</t>
        </is>
      </c>
      <c r="B44" s="240" t="inlineStr">
        <is>
          <t>II.D</t>
        </is>
      </c>
      <c r="C44" s="230" t="inlineStr">
        <is>
          <t>Benchmark &amp; Reference Check</t>
        </is>
      </c>
      <c r="D44" s="230" t="n"/>
      <c r="E44" s="231" t="n"/>
      <c r="F44" s="662">
        <f>SUM(G44:K44)</f>
        <v/>
      </c>
      <c r="G44" s="662">
        <f>SUM(G45:G47)</f>
        <v/>
      </c>
      <c r="H44" s="662">
        <f>SUM(H45:H47)</f>
        <v/>
      </c>
      <c r="I44" s="662">
        <f>SUM(I45:I47)</f>
        <v/>
      </c>
      <c r="J44" s="662">
        <f>SUM(J45:J47)</f>
        <v/>
      </c>
      <c r="K44" s="662">
        <f>SUM(K45:K47)</f>
        <v/>
      </c>
      <c r="L44" s="143" t="n"/>
      <c r="M44" s="199" t="n"/>
      <c r="N44" s="199" t="n"/>
      <c r="O44" s="199" t="n"/>
      <c r="P44" s="199" t="n"/>
      <c r="Q44" s="199" t="n"/>
      <c r="R44" s="199" t="n"/>
      <c r="S44" s="199" t="n"/>
      <c r="T44" s="199" t="n"/>
      <c r="U44" s="199" t="n"/>
      <c r="V44" s="199" t="n"/>
      <c r="W44" s="199" t="n"/>
      <c r="X44" s="199" t="n"/>
    </row>
    <row r="45" outlineLevel="1" ht="15.6" customFormat="1" customHeight="1" s="192">
      <c r="A45" s="382" t="n">
        <v>1</v>
      </c>
      <c r="B45" s="242" t="n"/>
      <c r="C45" s="242" t="inlineStr">
        <is>
          <t>Benchmark governance</t>
        </is>
      </c>
      <c r="D45" s="249" t="n"/>
      <c r="E45" s="238" t="n"/>
      <c r="F45" s="663" t="n"/>
      <c r="G45" s="664" t="n"/>
      <c r="H45" s="664" t="n"/>
      <c r="I45" s="664" t="n"/>
      <c r="J45" s="664" t="n"/>
      <c r="K45" s="664" t="n"/>
      <c r="L45" s="660" t="n"/>
      <c r="M45" s="199" t="n"/>
      <c r="N45" s="199" t="n"/>
      <c r="O45" s="199" t="n"/>
      <c r="P45" s="199" t="n"/>
      <c r="Q45" s="199" t="n"/>
      <c r="R45" s="199" t="n"/>
      <c r="S45" s="199" t="n"/>
      <c r="T45" s="199" t="n"/>
      <c r="U45" s="199" t="n"/>
      <c r="V45" s="199" t="n"/>
      <c r="W45" s="199" t="n"/>
      <c r="X45" s="199" t="n"/>
    </row>
    <row r="46" outlineLevel="1" ht="27.6" customFormat="1" customHeight="1" s="192">
      <c r="A46" s="382" t="n"/>
      <c r="B46" s="236" t="n">
        <v>21</v>
      </c>
      <c r="C46" s="237">
        <f>CONCATENATE($D$2&amp;"-",B46)</f>
        <v/>
      </c>
      <c r="D46" s="185" t="inlineStr">
        <is>
          <t>Benchmark dataset governance and peer-set rules</t>
        </is>
      </c>
      <c r="E46" s="188" t="inlineStr">
        <is>
          <t>Implement governed benchmark dataset versioning, peer inclusion/exclusion rules, metric definitions, period alignment, and approval metadata.</t>
        </is>
      </c>
      <c r="F46" s="665">
        <f>SUM(G46:K46)</f>
        <v/>
      </c>
      <c r="G46" s="665" t="n">
        <v>4</v>
      </c>
      <c r="H46" s="666" t="n"/>
      <c r="I46" s="665">
        <f>SUM(G46:H46)*'4. Master Data'!$C$5</f>
        <v/>
      </c>
      <c r="J46" s="665">
        <f>SUM(G46:H46)*'4. Master Data'!$C$7</f>
        <v/>
      </c>
      <c r="K46" s="665">
        <f>SUM(G46:J46)*'4. Master Data'!$C$4</f>
        <v/>
      </c>
      <c r="L46" s="143" t="inlineStr">
        <is>
          <t>Governance and backend enforcement</t>
        </is>
      </c>
      <c r="M46" s="199" t="n">
        <v>3</v>
      </c>
      <c r="N46" s="199" t="n">
        <v>4</v>
      </c>
      <c r="O46" s="199" t="n">
        <v>6</v>
      </c>
      <c r="P46" s="199" t="n">
        <v>4.1667</v>
      </c>
      <c r="Q46" s="199" t="n">
        <v>4.5877</v>
      </c>
      <c r="R46" s="199" t="inlineStr">
        <is>
          <t>Dataset versions and approvals are persisted; Peer-set rule tests pass; Metric definitions and periods are queryable</t>
        </is>
      </c>
      <c r="S46" s="199" t="n"/>
      <c r="T46" s="199" t="n"/>
      <c r="U46" s="199" t="n"/>
      <c r="V46" s="199" t="n"/>
      <c r="W46" s="199" t="n"/>
      <c r="X46" s="199" t="n"/>
    </row>
    <row r="47" ht="27.6" customFormat="1" customHeight="1" s="192">
      <c r="A47" s="382" t="n"/>
      <c r="B47" s="236" t="n">
        <v>22</v>
      </c>
      <c r="C47" s="237">
        <f>CONCATENATE($D$2&amp;"-",B47)</f>
        <v/>
      </c>
      <c r="D47" s="185" t="inlineStr">
        <is>
          <t>Reference-check evidence comparison service</t>
        </is>
      </c>
      <c r="E47" s="188" t="inlineStr">
        <is>
          <t>Implement comparison of declared references to retrieved graph/vector evidence, conflict flags, confidence fields, and analyst-review queue payloads.</t>
        </is>
      </c>
      <c r="F47" s="665">
        <f>SUM(G47:K47)</f>
        <v/>
      </c>
      <c r="G47" s="665" t="n">
        <v>5</v>
      </c>
      <c r="H47" s="666" t="n"/>
      <c r="I47" s="665">
        <f>SUM(G47:H47)*'4. Master Data'!$C$5</f>
        <v/>
      </c>
      <c r="J47" s="665">
        <f>SUM(G47:H47)*'4. Master Data'!$C$7</f>
        <v/>
      </c>
      <c r="K47" s="665">
        <f>SUM(G47:J47)*'4. Master Data'!$C$4</f>
        <v/>
      </c>
      <c r="L47" s="143" t="inlineStr">
        <is>
          <t>Backend comparison service</t>
        </is>
      </c>
      <c r="M47" s="199" t="n">
        <v>3</v>
      </c>
      <c r="N47" s="199" t="n">
        <v>5</v>
      </c>
      <c r="O47" s="199" t="n">
        <v>7</v>
      </c>
      <c r="P47" s="199" t="n">
        <v>5</v>
      </c>
      <c r="Q47" s="199" t="n">
        <v>5.5613</v>
      </c>
      <c r="R47" s="199" t="inlineStr">
        <is>
          <t>Match/mismatch/unknown states are distinct; Conflicts include supporting evidence IDs; Review payload is schema-valid</t>
        </is>
      </c>
      <c r="S47" s="199" t="n"/>
      <c r="T47" s="199" t="n"/>
      <c r="U47" s="199" t="n"/>
      <c r="V47" s="199" t="n"/>
      <c r="W47" s="199" t="n"/>
      <c r="X47" s="199" t="n"/>
    </row>
    <row r="48" ht="15.6" customFormat="1" customHeight="1" s="192">
      <c r="A48" s="382" t="n"/>
      <c r="B48" s="236" t="n"/>
      <c r="C48" s="243" t="n"/>
      <c r="D48" s="244" t="n"/>
      <c r="E48" s="245" t="n"/>
      <c r="F48" s="665" t="n"/>
      <c r="G48" s="665" t="n"/>
      <c r="H48" s="666" t="n"/>
      <c r="I48" s="665" t="n"/>
      <c r="J48" s="665" t="n"/>
      <c r="K48" s="665" t="n"/>
      <c r="L48" s="143" t="n"/>
      <c r="M48" s="199" t="n"/>
      <c r="N48" s="380" t="n"/>
      <c r="O48" s="199" t="n"/>
      <c r="P48" s="199" t="n"/>
      <c r="Q48" s="199" t="n"/>
      <c r="R48" s="199" t="n"/>
      <c r="S48" s="199" t="n"/>
      <c r="T48" s="199" t="n"/>
      <c r="U48" s="199" t="n"/>
      <c r="V48" s="199" t="n"/>
      <c r="W48" s="199" t="n"/>
      <c r="X48" s="199" t="n"/>
    </row>
    <row r="49" outlineLevel="1" ht="15.6" customFormat="1" customHeight="1" s="192">
      <c r="A49" s="382" t="inlineStr">
        <is>
          <t>E</t>
        </is>
      </c>
      <c r="B49" s="240" t="inlineStr">
        <is>
          <t>II.E</t>
        </is>
      </c>
      <c r="C49" s="230" t="inlineStr">
        <is>
          <t>AI Audit, Security &amp; Observability</t>
        </is>
      </c>
      <c r="D49" s="230" t="n"/>
      <c r="E49" s="231" t="n"/>
      <c r="F49" s="662">
        <f>SUM(G49:K49)</f>
        <v/>
      </c>
      <c r="G49" s="662">
        <f>SUM(G50:G53)</f>
        <v/>
      </c>
      <c r="H49" s="662">
        <f>SUM(H50:H53)</f>
        <v/>
      </c>
      <c r="I49" s="662">
        <f>SUM(I50:I53)</f>
        <v/>
      </c>
      <c r="J49" s="662">
        <f>SUM(J50:J53)</f>
        <v/>
      </c>
      <c r="K49" s="662">
        <f>SUM(K50:K53)</f>
        <v/>
      </c>
      <c r="L49" s="143" t="n"/>
      <c r="M49" s="199" t="n"/>
      <c r="N49" s="199" t="n"/>
      <c r="O49" s="199" t="n"/>
      <c r="P49" s="199" t="n"/>
      <c r="Q49" s="199" t="n"/>
      <c r="R49" s="199" t="n"/>
      <c r="S49" s="199" t="n"/>
      <c r="T49" s="199" t="n"/>
      <c r="U49" s="199" t="n"/>
      <c r="V49" s="199" t="n"/>
      <c r="W49" s="199" t="n"/>
      <c r="X49" s="199" t="n"/>
    </row>
    <row r="50" outlineLevel="1" ht="15.6" customFormat="1" customHeight="1" s="192">
      <c r="A50" s="382" t="n">
        <v>1</v>
      </c>
      <c r="B50" s="242" t="n"/>
      <c r="C50" s="242" t="inlineStr">
        <is>
          <t>AI audit, security &amp; observability</t>
        </is>
      </c>
      <c r="D50" s="249" t="n"/>
      <c r="E50" s="238" t="n"/>
      <c r="F50" s="663" t="n"/>
      <c r="G50" s="664" t="n"/>
      <c r="H50" s="664" t="n"/>
      <c r="I50" s="664" t="n"/>
      <c r="J50" s="664" t="n"/>
      <c r="K50" s="664" t="n"/>
      <c r="L50" s="660" t="n"/>
      <c r="M50" s="199" t="n"/>
      <c r="N50" s="199" t="n"/>
      <c r="O50" s="199" t="n"/>
      <c r="P50" s="199" t="n"/>
      <c r="Q50" s="199" t="n"/>
      <c r="R50" s="199" t="n"/>
      <c r="S50" s="199" t="n"/>
      <c r="T50" s="199" t="n"/>
      <c r="U50" s="199" t="n"/>
      <c r="V50" s="199" t="n"/>
      <c r="W50" s="199" t="n"/>
      <c r="X50" s="199" t="n"/>
    </row>
    <row r="51" outlineLevel="1" ht="27.6" customFormat="1" customHeight="1" s="192">
      <c r="A51" s="382" t="n"/>
      <c r="B51" s="236" t="n">
        <v>23</v>
      </c>
      <c r="C51" s="237">
        <f>CONCATENATE($D$2&amp;"-",B51)</f>
        <v/>
      </c>
      <c r="D51" s="185" t="inlineStr">
        <is>
          <t>AI audit trail and prompt/tool event capture</t>
        </is>
      </c>
      <c r="E51" s="188" t="inlineStr">
        <is>
          <t>Implement immutable correlation-linked audit events for prompts, model responses, tool calls, rule versions, evidence IDs, and analyst overrides.</t>
        </is>
      </c>
      <c r="F51" s="665">
        <f>SUM(G51:K51)</f>
        <v/>
      </c>
      <c r="G51" s="665" t="n">
        <v>3</v>
      </c>
      <c r="H51" s="666" t="n"/>
      <c r="I51" s="665">
        <f>SUM(G51:H51)*'4. Master Data'!$C$5</f>
        <v/>
      </c>
      <c r="J51" s="665">
        <f>SUM(G51:H51)*'4. Master Data'!$C$7</f>
        <v/>
      </c>
      <c r="K51" s="665">
        <f>SUM(G51:J51)*'4. Master Data'!$C$4</f>
        <v/>
      </c>
      <c r="L51" s="143" t="inlineStr">
        <is>
          <t>Audit backend</t>
        </is>
      </c>
      <c r="M51" s="199" t="n">
        <v>2</v>
      </c>
      <c r="N51" s="199" t="n">
        <v>3</v>
      </c>
      <c r="O51" s="199" t="n">
        <v>5</v>
      </c>
      <c r="P51" s="199" t="n">
        <v>3.1667</v>
      </c>
      <c r="Q51" s="199" t="n">
        <v>3.5877</v>
      </c>
      <c r="R51" s="199" t="inlineStr">
        <is>
          <t>End-to-end correlation ID is queryable; Sensitive fields are redacted per policy; Audit events cover model, tool, rule, and override actions</t>
        </is>
      </c>
      <c r="S51" s="199" t="n"/>
      <c r="T51" s="199" t="n"/>
      <c r="U51" s="199" t="n"/>
      <c r="V51" s="199" t="n"/>
      <c r="W51" s="199" t="n"/>
      <c r="X51" s="199" t="n"/>
    </row>
    <row r="52" outlineLevel="1" ht="27.6" customFormat="1" customHeight="1" s="192">
      <c r="A52" s="382" t="n"/>
      <c r="B52" s="236" t="n">
        <v>24</v>
      </c>
      <c r="C52" s="237">
        <f>CONCATENATE($D$2&amp;"-",B52)</f>
        <v/>
      </c>
      <c r="D52" s="185" t="inlineStr">
        <is>
          <t>AI security controls and abuse defenses</t>
        </is>
      </c>
      <c r="E52" s="188" t="inlineStr">
        <is>
          <t>Implement service authentication/authorization, secret lease usage, prompt-injection checks, PII redaction, tool allowlists, and rate/size limits.</t>
        </is>
      </c>
      <c r="F52" s="665">
        <f>SUM(G52:K52)</f>
        <v/>
      </c>
      <c r="G52" s="665" t="n">
        <v>3</v>
      </c>
      <c r="H52" s="666" t="n"/>
      <c r="I52" s="665">
        <f>SUM(G52:H52)*'4. Master Data'!$C$5</f>
        <v/>
      </c>
      <c r="J52" s="665">
        <f>SUM(G52:H52)*'4. Master Data'!$C$7</f>
        <v/>
      </c>
      <c r="K52" s="665">
        <f>SUM(G52:J52)*'4. Master Data'!$C$4</f>
        <v/>
      </c>
      <c r="L52" s="143" t="inlineStr">
        <is>
          <t>Security controls only; infrastructure base exists</t>
        </is>
      </c>
      <c r="M52" s="199" t="n">
        <v>2</v>
      </c>
      <c r="N52" s="199" t="n">
        <v>3</v>
      </c>
      <c r="O52" s="199" t="n">
        <v>5</v>
      </c>
      <c r="P52" s="199" t="n">
        <v>3.1667</v>
      </c>
      <c r="Q52" s="199" t="n">
        <v>3.5877</v>
      </c>
      <c r="R52" s="199" t="inlineStr">
        <is>
          <t>Unauthorized tool/service calls are denied; Prompt-injection and oversized payload tests pass; Secrets are not emitted in logs or outputs</t>
        </is>
      </c>
      <c r="S52" s="199" t="n"/>
      <c r="T52" s="199" t="n"/>
      <c r="U52" s="199" t="n"/>
      <c r="V52" s="199" t="n"/>
      <c r="W52" s="199" t="n"/>
      <c r="X52" s="199" t="n"/>
    </row>
    <row r="53" ht="27.6" customFormat="1" customHeight="1" s="192">
      <c r="A53" s="382" t="n"/>
      <c r="B53" s="236" t="n">
        <v>25</v>
      </c>
      <c r="C53" s="237">
        <f>CONCATENATE($D$2&amp;"-",B53)</f>
        <v/>
      </c>
      <c r="D53" s="185" t="inlineStr">
        <is>
          <t>AI observability, traces and quality signals</t>
        </is>
      </c>
      <c r="E53" s="188" t="inlineStr">
        <is>
          <t>Implement OpenTelemetry traces, model/tool latency metrics, failure counters, evidence coverage signals, and dashboards/alerts for operational review.</t>
        </is>
      </c>
      <c r="F53" s="665">
        <f>SUM(G53:K53)</f>
        <v/>
      </c>
      <c r="G53" s="665" t="n">
        <v>4</v>
      </c>
      <c r="H53" s="666" t="n"/>
      <c r="I53" s="665">
        <f>SUM(G53:H53)*'4. Master Data'!$C$5</f>
        <v/>
      </c>
      <c r="J53" s="665">
        <f>SUM(G53:H53)*'4. Master Data'!$C$7</f>
        <v/>
      </c>
      <c r="K53" s="665">
        <f>SUM(G53:J53)*'4. Master Data'!$C$4</f>
        <v/>
      </c>
      <c r="L53" s="143" t="inlineStr">
        <is>
          <t>Observability integration, not platform installation</t>
        </is>
      </c>
      <c r="M53" s="199" t="n">
        <v>3</v>
      </c>
      <c r="N53" s="199" t="n">
        <v>4</v>
      </c>
      <c r="O53" s="199" t="n">
        <v>6</v>
      </c>
      <c r="P53" s="199" t="n">
        <v>4.1667</v>
      </c>
      <c r="Q53" s="199" t="n">
        <v>4.5877</v>
      </c>
      <c r="R53" s="199" t="inlineStr">
        <is>
          <t>Trace spans cover orchestration and tool calls; Latency/error/evidence-coverage metrics are emitted; Alert thresholds are documented and tested</t>
        </is>
      </c>
      <c r="S53" s="199" t="n"/>
      <c r="T53" s="199" t="n"/>
      <c r="U53" s="199" t="n"/>
      <c r="V53" s="199" t="n"/>
      <c r="W53" s="199" t="n"/>
      <c r="X53" s="199" t="n"/>
    </row>
    <row r="54" ht="15.6" customFormat="1" customHeight="1" s="192">
      <c r="A54" s="382" t="n"/>
      <c r="B54" s="236" t="n"/>
      <c r="C54" s="243" t="n"/>
      <c r="D54" s="244" t="n"/>
      <c r="E54" s="245" t="n"/>
      <c r="F54" s="665" t="n"/>
      <c r="G54" s="665" t="n"/>
      <c r="H54" s="666" t="n"/>
      <c r="I54" s="665" t="n"/>
      <c r="J54" s="665" t="n"/>
      <c r="K54" s="665" t="n"/>
      <c r="L54" s="143" t="n"/>
      <c r="M54" s="199" t="n"/>
      <c r="N54" s="380" t="n"/>
      <c r="O54" s="199" t="n"/>
      <c r="P54" s="199" t="n"/>
      <c r="Q54" s="199" t="n"/>
      <c r="R54" s="199" t="n"/>
      <c r="S54" s="199" t="n"/>
      <c r="T54" s="199" t="n"/>
      <c r="U54" s="199" t="n"/>
      <c r="V54" s="199" t="n"/>
      <c r="W54" s="199" t="n"/>
      <c r="X54" s="199" t="n"/>
    </row>
    <row r="55" outlineLevel="1" ht="15.6" customFormat="1" customHeight="1" s="192">
      <c r="A55" s="382" t="inlineStr">
        <is>
          <t>III</t>
        </is>
      </c>
      <c r="B55" s="239" t="inlineStr">
        <is>
          <t>III</t>
        </is>
      </c>
      <c r="C55" s="232" t="inlineStr">
        <is>
          <t>TESTING &amp; DEPLOYMENT SUPPORT</t>
        </is>
      </c>
      <c r="D55" s="232" t="n"/>
      <c r="E55" s="233" t="n"/>
      <c r="F55" s="661">
        <f>SUM(G55:K55)</f>
        <v/>
      </c>
      <c r="G55" s="661">
        <f>SUM(G56,G60)</f>
        <v/>
      </c>
      <c r="H55" s="661">
        <f>SUM(H56,H60)</f>
        <v/>
      </c>
      <c r="I55" s="661">
        <f>SUM(I56,I60)</f>
        <v/>
      </c>
      <c r="J55" s="661">
        <f>SUM(J56,J60)</f>
        <v/>
      </c>
      <c r="K55" s="661">
        <f>SUM(K56,K60)</f>
        <v/>
      </c>
      <c r="L55" s="660" t="n"/>
      <c r="M55" s="199" t="n"/>
      <c r="N55" s="199" t="n"/>
      <c r="O55" s="199" t="n"/>
      <c r="P55" s="199" t="n"/>
      <c r="Q55" s="199" t="n"/>
      <c r="R55" s="199" t="n"/>
      <c r="S55" s="199" t="n"/>
      <c r="T55" s="199" t="n"/>
      <c r="U55" s="199" t="n"/>
      <c r="V55" s="199" t="n"/>
      <c r="W55" s="199" t="n"/>
      <c r="X55" s="199" t="n"/>
    </row>
    <row r="56" outlineLevel="1" ht="15.6" customFormat="1" customHeight="1" s="192">
      <c r="A56" s="382" t="inlineStr">
        <is>
          <t>A</t>
        </is>
      </c>
      <c r="B56" s="240" t="inlineStr">
        <is>
          <t>III.A</t>
        </is>
      </c>
      <c r="C56" s="230" t="inlineStr">
        <is>
          <t>Solution Qualification</t>
        </is>
      </c>
      <c r="D56" s="230" t="n"/>
      <c r="E56" s="231" t="n"/>
      <c r="F56" s="662">
        <f>SUM(G56:K56)</f>
        <v/>
      </c>
      <c r="G56" s="662">
        <f>SUM(G57:G58)</f>
        <v/>
      </c>
      <c r="H56" s="662">
        <f>SUM(H57:H58)</f>
        <v/>
      </c>
      <c r="I56" s="662">
        <f>SUM(I57:I58)</f>
        <v/>
      </c>
      <c r="J56" s="662">
        <f>SUM(J57:J58)</f>
        <v/>
      </c>
      <c r="K56" s="662">
        <f>SUM(K57:K58)</f>
        <v/>
      </c>
      <c r="L56" s="143" t="n"/>
      <c r="M56" s="199" t="n"/>
      <c r="N56" s="199" t="n"/>
      <c r="O56" s="199" t="n"/>
      <c r="P56" s="199" t="n"/>
      <c r="Q56" s="199" t="n"/>
      <c r="R56" s="199" t="n"/>
      <c r="S56" s="199" t="n"/>
      <c r="T56" s="199" t="n"/>
      <c r="U56" s="199" t="n"/>
      <c r="V56" s="199" t="n"/>
      <c r="W56" s="199" t="n"/>
      <c r="X56" s="199" t="n"/>
    </row>
    <row r="57" ht="15.6" customFormat="1" customHeight="1" s="192">
      <c r="A57" s="382" t="n">
        <v>1</v>
      </c>
      <c r="B57" s="242" t="n"/>
      <c r="C57" s="242" t="inlineStr">
        <is>
          <t>Qualification testing</t>
        </is>
      </c>
      <c r="D57" s="249" t="n"/>
      <c r="E57" s="238" t="n"/>
      <c r="F57" s="663" t="n"/>
      <c r="G57" s="664" t="n"/>
      <c r="H57" s="664" t="n"/>
      <c r="I57" s="664" t="n"/>
      <c r="J57" s="664" t="n"/>
      <c r="K57" s="664" t="n"/>
      <c r="L57" s="660" t="n"/>
      <c r="M57" s="199" t="n"/>
      <c r="N57" s="199" t="n"/>
      <c r="O57" s="199" t="n"/>
      <c r="P57" s="199" t="n"/>
      <c r="Q57" s="199" t="n"/>
      <c r="R57" s="199" t="n"/>
      <c r="S57" s="199" t="n"/>
      <c r="T57" s="199" t="n"/>
      <c r="U57" s="199" t="n"/>
      <c r="V57" s="199" t="n"/>
      <c r="W57" s="199" t="n"/>
      <c r="X57" s="199" t="n"/>
    </row>
    <row r="58" ht="27.6" customFormat="1" customHeight="1" s="192">
      <c r="A58" s="382" t="n"/>
      <c r="B58" s="236" t="n">
        <v>26</v>
      </c>
      <c r="C58" s="237">
        <f>CONCATENATE($D$2&amp;"-",B58)</f>
        <v/>
      </c>
      <c r="D58" s="185" t="inlineStr">
        <is>
          <t>Solution qualification: integration, evidence and safety test pack</t>
        </is>
      </c>
      <c r="E58" s="188" t="inlineStr">
        <is>
          <t>Execute qualification against representative financial cases: end-to-end agent graph, deterministic ratio/rule golden vectors, Qdrant/Neo4j evidence, schema validation, security abuse cases, and model endpoint performance thresholds.</t>
        </is>
      </c>
      <c r="F58" s="665">
        <f>SUM(G58:K58)</f>
        <v/>
      </c>
      <c r="G58" s="665" t="n">
        <v>6</v>
      </c>
      <c r="H58" s="666" t="n"/>
      <c r="I58" s="665">
        <f>SUM(G58:H58)*'4. Master Data'!$C$5</f>
        <v/>
      </c>
      <c r="J58" s="665">
        <f>SUM(G58:H58)*'4. Master Data'!$C$7</f>
        <v/>
      </c>
      <c r="K58" s="665">
        <f>SUM(G58:J58)*'4. Master Data'!$C$4</f>
        <v/>
      </c>
      <c r="L58" s="143" t="inlineStr">
        <is>
          <t>Backend/QC qualification support; no frontend/mobile coding</t>
        </is>
      </c>
      <c r="M58" s="199" t="n">
        <v>4</v>
      </c>
      <c r="N58" s="199" t="n">
        <v>6</v>
      </c>
      <c r="O58" s="199" t="n">
        <v>8</v>
      </c>
      <c r="P58" s="199" t="n">
        <v>6</v>
      </c>
      <c r="Q58" s="199" t="n">
        <v>6.5613</v>
      </c>
      <c r="R58" s="199" t="inlineStr">
        <is>
          <t>SIT/UAT test report completed; Critical defects fixed or accepted; Evidence coverage and safety gates pass; Release recommendation signed off</t>
        </is>
      </c>
      <c r="S58" s="199" t="n"/>
      <c r="T58" s="199" t="n"/>
      <c r="U58" s="199" t="n"/>
      <c r="V58" s="199" t="n"/>
      <c r="W58" s="199" t="n"/>
      <c r="X58" s="199" t="n"/>
    </row>
    <row r="59" ht="15.6" customFormat="1" customHeight="1" s="192">
      <c r="A59" s="382" t="n"/>
      <c r="B59" s="236" t="n"/>
      <c r="C59" s="243" t="n"/>
      <c r="D59" s="244" t="n"/>
      <c r="E59" s="245" t="n"/>
      <c r="F59" s="665" t="n"/>
      <c r="G59" s="665" t="n"/>
      <c r="H59" s="666" t="n"/>
      <c r="I59" s="665" t="n"/>
      <c r="J59" s="665" t="n"/>
      <c r="K59" s="665" t="n"/>
      <c r="L59" s="143" t="n"/>
      <c r="M59" s="199" t="n"/>
      <c r="N59" s="199" t="n"/>
      <c r="O59" s="199" t="n"/>
      <c r="P59" s="199" t="n"/>
      <c r="Q59" s="199" t="n"/>
      <c r="R59" s="199" t="n"/>
      <c r="S59" s="199" t="n"/>
      <c r="T59" s="199" t="n"/>
      <c r="U59" s="199" t="n"/>
      <c r="V59" s="199" t="n"/>
      <c r="W59" s="199" t="n"/>
      <c r="X59" s="199" t="n"/>
    </row>
    <row r="60" ht="15.6" customHeight="1">
      <c r="A60" s="382" t="inlineStr">
        <is>
          <t>B</t>
        </is>
      </c>
      <c r="B60" s="240" t="inlineStr">
        <is>
          <t>III.B</t>
        </is>
      </c>
      <c r="C60" s="230" t="inlineStr">
        <is>
          <t>Minimal Deployment &amp; Maintenance Support</t>
        </is>
      </c>
      <c r="D60" s="230" t="n"/>
      <c r="E60" s="231" t="n"/>
      <c r="F60" s="662">
        <f>SUM(G60:K60)</f>
        <v/>
      </c>
      <c r="G60" s="662">
        <f>SUM(G61:G63)</f>
        <v/>
      </c>
      <c r="H60" s="662">
        <f>SUM(H61:H63)</f>
        <v/>
      </c>
      <c r="I60" s="662">
        <f>SUM(I61:I63)</f>
        <v/>
      </c>
      <c r="J60" s="662">
        <f>SUM(J61:J63)</f>
        <v/>
      </c>
      <c r="K60" s="662">
        <f>SUM(K61:K63)</f>
        <v/>
      </c>
      <c r="L60" s="143" t="n"/>
      <c r="M60" s="199" t="n"/>
      <c r="N60" s="199" t="n"/>
      <c r="O60" s="199" t="n"/>
      <c r="P60" s="199" t="n"/>
      <c r="Q60" s="199" t="n"/>
      <c r="R60" s="199" t="n"/>
      <c r="S60" s="199" t="n"/>
      <c r="T60" s="199" t="n"/>
      <c r="U60" s="199" t="n"/>
      <c r="V60" s="199" t="n"/>
      <c r="W60" s="199" t="n"/>
      <c r="X60" s="199" t="n"/>
    </row>
    <row r="61" outlineLevel="1" ht="15.6" customHeight="1">
      <c r="A61" s="382" t="n">
        <v>1</v>
      </c>
      <c r="B61" s="242" t="n"/>
      <c r="C61" s="242" t="inlineStr">
        <is>
          <t>Minimal deployment &amp; maintenance</t>
        </is>
      </c>
      <c r="D61" s="249" t="n"/>
      <c r="E61" s="238" t="n"/>
      <c r="F61" s="663" t="n"/>
      <c r="G61" s="664" t="n"/>
      <c r="H61" s="664" t="n"/>
      <c r="I61" s="664" t="n"/>
      <c r="J61" s="664" t="n"/>
      <c r="K61" s="664" t="n"/>
      <c r="L61" s="660" t="n"/>
      <c r="M61" s="199" t="n"/>
      <c r="N61" s="225" t="n"/>
      <c r="O61" s="199" t="n"/>
      <c r="P61" s="199" t="n"/>
      <c r="Q61" s="199" t="n"/>
      <c r="R61" s="199" t="n"/>
      <c r="S61" s="199" t="n"/>
      <c r="T61" s="199" t="n"/>
      <c r="U61" s="199" t="n"/>
      <c r="V61" s="199" t="n"/>
      <c r="W61" s="199" t="n"/>
      <c r="X61" s="199" t="n"/>
    </row>
    <row r="62" outlineLevel="1" ht="27.6" customHeight="1">
      <c r="A62" s="382" t="n"/>
      <c r="B62" s="236" t="n">
        <v>27</v>
      </c>
      <c r="C62" s="237">
        <f>CONCATENATE($D$2&amp;"-",B62)</f>
        <v/>
      </c>
      <c r="D62" s="185" t="inlineStr">
        <is>
          <t>Production deployment and rollback runbook</t>
        </is>
      </c>
      <c r="E62" s="188" t="inlineStr">
        <is>
          <t>Apply the existing runtime deployment path, configure service endpoint references/secrets, execute smoke checks, and document rollback; excludes infrastructure/base serving installation.</t>
        </is>
      </c>
      <c r="F62" s="665">
        <f>SUM(G62:K62)</f>
        <v/>
      </c>
      <c r="G62" s="665" t="n">
        <v>1</v>
      </c>
      <c r="H62" s="666" t="n"/>
      <c r="I62" s="665" t="n"/>
      <c r="J62" s="665" t="n"/>
      <c r="K62" s="665" t="n"/>
      <c r="L62" s="143" t="inlineStr">
        <is>
          <t>Minimal deployment only; PM=0</t>
        </is>
      </c>
      <c r="M62" s="199" t="n">
        <v>1</v>
      </c>
      <c r="N62" s="225" t="n">
        <v>1</v>
      </c>
      <c r="O62" s="199" t="n">
        <v>2</v>
      </c>
      <c r="P62" s="199" t="n">
        <v>1.1667</v>
      </c>
      <c r="Q62" s="199" t="n">
        <v>1.307</v>
      </c>
      <c r="R62" s="199" t="inlineStr">
        <is>
          <t>Production smoke test passes; Rollback steps are verified; No vLLM/SGLang installation is estimated</t>
        </is>
      </c>
      <c r="S62" s="199" t="n"/>
      <c r="T62" s="199" t="n"/>
      <c r="U62" s="199" t="n"/>
      <c r="V62" s="199" t="n"/>
      <c r="W62" s="199" t="n"/>
      <c r="X62" s="199" t="n"/>
    </row>
    <row r="63" outlineLevel="1" ht="27.6" customHeight="1">
      <c r="A63" s="382" t="n"/>
      <c r="B63" s="236" t="n">
        <v>28</v>
      </c>
      <c r="C63" s="237">
        <f>CONCATENATE($D$2&amp;"-",B63)</f>
        <v/>
      </c>
      <c r="D63" s="185" t="inlineStr">
        <is>
          <t>Minimal post-go-live defect support</t>
        </is>
      </c>
      <c r="E63" s="188" t="inlineStr">
        <is>
          <t>Provide a short stabilization window for backend defects, configuration corrections, and audit/observability tuning; no feature expansion.</t>
        </is>
      </c>
      <c r="F63" s="665">
        <f>SUM(G63:K63)</f>
        <v/>
      </c>
      <c r="G63" s="665" t="n">
        <v>2</v>
      </c>
      <c r="H63" s="666" t="n"/>
      <c r="I63" s="665">
        <f>SUM(G63:H63)*'4. Master Data'!$C$5</f>
        <v/>
      </c>
      <c r="J63" s="665">
        <f>SUM(G63:H63)*'4. Master Data'!$C$7</f>
        <v/>
      </c>
      <c r="K63" s="665">
        <f>SUM(G63:J63)*'4. Master Data'!$C$4</f>
        <v/>
      </c>
      <c r="L63" s="143" t="inlineStr">
        <is>
          <t>Minimal maintenance support only</t>
        </is>
      </c>
      <c r="M63" s="199" t="n">
        <v>1</v>
      </c>
      <c r="N63" s="199" t="n">
        <v>2</v>
      </c>
      <c r="O63" s="199" t="n">
        <v>3</v>
      </c>
      <c r="P63" s="199" t="n">
        <v>2</v>
      </c>
      <c r="Q63" s="199" t="n">
        <v>2.2807</v>
      </c>
      <c r="R63" s="199" t="inlineStr">
        <is>
          <t>Accepted production defects triaged and resolved; Operational handover notes completed; Support window closed with open-items log</t>
        </is>
      </c>
      <c r="S63" s="199" t="n"/>
      <c r="T63" s="199" t="n"/>
      <c r="U63" s="199" t="n"/>
      <c r="V63" s="199" t="n"/>
      <c r="W63" s="199" t="n"/>
      <c r="X63" s="199" t="n"/>
    </row>
    <row r="64">
      <c r="A64" s="382" t="n"/>
      <c r="B64" s="236" t="n"/>
      <c r="C64" s="243" t="n"/>
      <c r="D64" s="244" t="n"/>
      <c r="E64" s="245" t="n"/>
      <c r="F64" s="665" t="n"/>
      <c r="G64" s="665" t="n"/>
      <c r="H64" s="666" t="n"/>
      <c r="I64" s="665" t="n"/>
      <c r="J64" s="665" t="n"/>
      <c r="K64" s="665" t="n"/>
      <c r="L64" s="143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</row>
    <row r="65" ht="15.6" customFormat="1" customHeight="1" s="192"/>
    <row r="66" ht="15.6" customHeight="1"/>
    <row r="67" outlineLevel="1" ht="27.6" customHeight="1"/>
    <row r="68" outlineLevel="1" ht="27.6" customHeight="1"/>
    <row r="69" outlineLevel="1"/>
    <row r="71" ht="15.6" customHeight="1"/>
    <row r="72" outlineLevel="1"/>
    <row r="73" outlineLevel="1" ht="53.25" customHeight="1"/>
    <row r="75" ht="15.95" customHeight="1"/>
    <row r="76" ht="15.95" customHeight="1"/>
  </sheetData>
  <mergeCells count="1">
    <mergeCell ref="B3:L3"/>
  </mergeCells>
  <pageMargins left="0.7" right="0.7" top="0.75" bottom="0.75" header="0.3" footer="0.3"/>
  <pageSetup orientation="landscape" paperSize="8" scale="80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9"/>
  <sheetViews>
    <sheetView zoomScaleNormal="100" workbookViewId="0">
      <selection activeCell="N16" sqref="N16"/>
    </sheetView>
  </sheetViews>
  <sheetFormatPr baseColWidth="8" defaultColWidth="14.42578125" defaultRowHeight="14.45"/>
  <cols>
    <col width="11.42578125" customWidth="1" style="158" min="1" max="1"/>
    <col width="5.85546875" customWidth="1" style="158" min="2" max="2"/>
    <col width="36.85546875" customWidth="1" style="158" min="3" max="3"/>
    <col width="13.85546875" customWidth="1" style="158" min="4" max="5"/>
    <col width="4.5" customWidth="1" style="158" min="6" max="21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7.28515625" customWidth="1" style="158" min="22" max="25"/>
    <col width="11.42578125" customWidth="1" style="158" min="26" max="39"/>
    <col width="14.42578125" customWidth="1" style="158" min="40" max="16384"/>
  </cols>
  <sheetData>
    <row r="1" ht="25.9" customHeight="1">
      <c r="A1" s="667" t="n"/>
      <c r="B1" s="668" t="inlineStr">
        <is>
          <t>Master Plan</t>
        </is>
      </c>
      <c r="C1" s="669" t="n"/>
      <c r="D1" s="670" t="n"/>
      <c r="E1" s="670" t="n"/>
      <c r="F1" s="667" t="n"/>
      <c r="G1" s="667" t="n"/>
      <c r="H1" s="667" t="n"/>
      <c r="I1" s="667" t="n"/>
      <c r="J1" s="667" t="n"/>
      <c r="K1" s="667" t="n"/>
      <c r="L1" s="667" t="n"/>
      <c r="M1" s="667" t="n"/>
      <c r="N1" s="667" t="n"/>
      <c r="O1" s="667" t="n"/>
      <c r="P1" s="667" t="n"/>
      <c r="Q1" s="667" t="n"/>
      <c r="R1" s="671" t="n"/>
      <c r="S1" s="671" t="n"/>
      <c r="T1" s="671" t="n"/>
      <c r="U1" s="671" t="n"/>
      <c r="V1" s="671" t="n"/>
      <c r="W1" s="671" t="n"/>
      <c r="X1" s="671" t="n"/>
      <c r="Y1" s="671" t="n"/>
      <c r="Z1" s="671" t="n"/>
      <c r="AA1" s="671" t="n"/>
      <c r="AB1" s="671" t="n"/>
      <c r="AC1" s="672" t="n"/>
      <c r="AD1" s="672" t="n"/>
      <c r="AE1" s="672" t="n"/>
      <c r="AF1" s="672" t="n"/>
      <c r="AG1" s="672" t="n"/>
      <c r="AH1" s="672" t="n"/>
      <c r="AI1" s="672" t="n"/>
      <c r="AJ1" s="672" t="n"/>
      <c r="AK1" s="672" t="n"/>
      <c r="AL1" s="672" t="n"/>
      <c r="AM1" s="672" t="n"/>
      <c r="AN1" s="672" t="n"/>
      <c r="AO1" s="672" t="n"/>
      <c r="AP1" s="672" t="n"/>
      <c r="AQ1" s="672" t="n"/>
      <c r="AR1" s="672" t="n"/>
    </row>
    <row r="2" ht="15" customHeight="1" thickBot="1">
      <c r="A2" s="667" t="n"/>
      <c r="B2" s="667" t="n"/>
      <c r="C2" s="669" t="n"/>
      <c r="D2" s="670" t="n"/>
      <c r="E2" s="670" t="n"/>
      <c r="F2" s="673" t="n"/>
      <c r="G2" s="673" t="n"/>
      <c r="H2" s="673" t="n"/>
      <c r="I2" s="673" t="n"/>
      <c r="J2" s="673" t="n"/>
      <c r="K2" s="673" t="n"/>
      <c r="L2" s="673" t="n"/>
      <c r="M2" s="673" t="n"/>
      <c r="N2" s="673" t="n"/>
      <c r="O2" s="673" t="n"/>
      <c r="P2" s="673" t="n"/>
      <c r="Q2" s="673" t="n"/>
      <c r="R2" s="674" t="n"/>
      <c r="S2" s="674" t="n"/>
      <c r="T2" s="674" t="n"/>
      <c r="U2" s="674" t="n"/>
      <c r="V2" s="674" t="n"/>
      <c r="W2" s="671" t="n"/>
      <c r="X2" s="671" t="n"/>
      <c r="Y2" s="671" t="n"/>
      <c r="Z2" s="671" t="n"/>
      <c r="AA2" s="671" t="n"/>
      <c r="AB2" s="671" t="n"/>
      <c r="AC2" s="672" t="n"/>
      <c r="AD2" s="672" t="n"/>
      <c r="AE2" s="672" t="n"/>
      <c r="AF2" s="672" t="n"/>
      <c r="AG2" s="672" t="n"/>
      <c r="AH2" s="672" t="n"/>
      <c r="AI2" s="672" t="n"/>
      <c r="AJ2" s="672" t="n"/>
      <c r="AK2" s="672" t="n"/>
      <c r="AL2" s="672" t="n"/>
      <c r="AM2" s="672" t="n"/>
      <c r="AN2" s="672" t="n"/>
      <c r="AO2" s="672" t="n"/>
      <c r="AP2" s="672" t="n"/>
      <c r="AQ2" s="672" t="n"/>
      <c r="AR2" s="672" t="n"/>
    </row>
    <row r="3" ht="16.15" customHeight="1" thickBot="1">
      <c r="A3" s="667" t="n"/>
      <c r="B3" s="667" t="n"/>
      <c r="C3" s="667" t="n"/>
      <c r="D3" s="667" t="n"/>
      <c r="E3" s="667" t="n"/>
      <c r="F3" s="675" t="inlineStr">
        <is>
          <t>1st Month</t>
        </is>
      </c>
      <c r="G3" s="725" t="n"/>
      <c r="H3" s="725" t="n"/>
      <c r="I3" s="726" t="n"/>
      <c r="J3" s="675" t="inlineStr">
        <is>
          <t>2nd Month</t>
        </is>
      </c>
      <c r="K3" s="725" t="n"/>
      <c r="L3" s="725" t="n"/>
      <c r="M3" s="726" t="n"/>
      <c r="N3" s="675" t="inlineStr">
        <is>
          <t>3rd Month</t>
        </is>
      </c>
      <c r="O3" s="725" t="n"/>
      <c r="P3" s="725" t="n"/>
      <c r="Q3" s="726" t="n"/>
      <c r="R3" s="677" t="n"/>
      <c r="S3" s="672" t="n"/>
      <c r="T3" s="672" t="n"/>
      <c r="U3" s="672" t="n"/>
      <c r="V3" s="677" t="n"/>
      <c r="W3" s="672" t="n"/>
      <c r="X3" s="672" t="n"/>
      <c r="Y3" s="672" t="n"/>
      <c r="Z3" s="671" t="n"/>
      <c r="AA3" s="671" t="n"/>
      <c r="AB3" s="671" t="n"/>
      <c r="AC3" s="672" t="n"/>
      <c r="AD3" s="672" t="n"/>
      <c r="AE3" s="672" t="n"/>
      <c r="AF3" s="672" t="n"/>
      <c r="AG3" s="672" t="n"/>
      <c r="AH3" s="672" t="n"/>
      <c r="AI3" s="672" t="n"/>
      <c r="AJ3" s="672" t="n"/>
      <c r="AK3" s="672" t="n"/>
      <c r="AL3" s="672" t="n"/>
      <c r="AM3" s="672" t="n"/>
      <c r="AN3" s="672" t="n"/>
      <c r="AO3" s="672" t="n"/>
      <c r="AP3" s="672" t="n"/>
      <c r="AQ3" s="672" t="n"/>
      <c r="AR3" s="672" t="n"/>
    </row>
    <row r="4" ht="18.6" customHeight="1" thickBot="1">
      <c r="A4" s="667" t="n"/>
      <c r="B4" s="670" t="n"/>
      <c r="C4" s="678" t="n"/>
      <c r="D4" s="672" t="n"/>
      <c r="E4" s="672" t="n"/>
      <c r="F4" s="679" t="inlineStr">
        <is>
          <t>Sprint 1</t>
        </is>
      </c>
      <c r="G4" s="710" t="n"/>
      <c r="H4" s="679" t="inlineStr">
        <is>
          <t>Sprint 2</t>
        </is>
      </c>
      <c r="I4" s="710" t="n"/>
      <c r="J4" s="679" t="inlineStr">
        <is>
          <t>Sprint 3</t>
        </is>
      </c>
      <c r="K4" s="710" t="n"/>
      <c r="L4" s="679" t="inlineStr">
        <is>
          <t>Sprint 4</t>
        </is>
      </c>
      <c r="M4" s="710" t="n"/>
      <c r="N4" s="679" t="inlineStr">
        <is>
          <t>Sprint 5</t>
        </is>
      </c>
      <c r="O4" s="710" t="n"/>
      <c r="P4" s="679" t="inlineStr">
        <is>
          <t>Sprint 6</t>
        </is>
      </c>
      <c r="Q4" s="710" t="n"/>
      <c r="R4" s="677" t="n"/>
      <c r="S4" s="672" t="n"/>
      <c r="T4" s="677" t="n"/>
      <c r="U4" s="672" t="n"/>
      <c r="V4" s="677" t="n"/>
      <c r="W4" s="672" t="n"/>
      <c r="X4" s="677" t="n"/>
      <c r="Y4" s="672" t="n"/>
      <c r="Z4" s="671" t="n"/>
      <c r="AA4" s="671" t="n"/>
      <c r="AB4" s="671" t="n"/>
      <c r="AC4" s="672" t="n"/>
      <c r="AD4" s="672" t="n"/>
      <c r="AE4" s="672" t="n"/>
      <c r="AF4" s="672" t="n"/>
      <c r="AG4" s="672" t="n"/>
      <c r="AH4" s="672" t="n"/>
      <c r="AI4" s="672" t="n"/>
      <c r="AJ4" s="672" t="n"/>
      <c r="AK4" s="672" t="n"/>
      <c r="AL4" s="672" t="n"/>
      <c r="AM4" s="672" t="n"/>
      <c r="AN4" s="672" t="n"/>
      <c r="AO4" s="672" t="n"/>
      <c r="AP4" s="672" t="n"/>
      <c r="AQ4" s="672" t="n"/>
      <c r="AR4" s="672" t="n"/>
    </row>
    <row r="5" ht="15" customHeight="1" thickBot="1">
      <c r="A5" s="667" t="n"/>
      <c r="B5" s="681" t="inlineStr">
        <is>
          <t>#</t>
        </is>
      </c>
      <c r="C5" s="681" t="inlineStr">
        <is>
          <t>Module</t>
        </is>
      </c>
      <c r="D5" s="681" t="inlineStr">
        <is>
          <t>Start</t>
        </is>
      </c>
      <c r="E5" s="681" t="inlineStr">
        <is>
          <t>End</t>
        </is>
      </c>
      <c r="F5" s="681" t="inlineStr">
        <is>
          <t>W1</t>
        </is>
      </c>
      <c r="G5" s="681" t="inlineStr">
        <is>
          <t>W2</t>
        </is>
      </c>
      <c r="H5" s="681" t="inlineStr">
        <is>
          <t>W3</t>
        </is>
      </c>
      <c r="I5" s="681" t="inlineStr">
        <is>
          <t>W4</t>
        </is>
      </c>
      <c r="J5" s="681" t="inlineStr">
        <is>
          <t>W5</t>
        </is>
      </c>
      <c r="K5" s="681" t="inlineStr">
        <is>
          <t>W6</t>
        </is>
      </c>
      <c r="L5" s="681" t="inlineStr">
        <is>
          <t>W7</t>
        </is>
      </c>
      <c r="M5" s="681" t="inlineStr">
        <is>
          <t>W8</t>
        </is>
      </c>
      <c r="N5" s="681" t="inlineStr">
        <is>
          <t>W9</t>
        </is>
      </c>
      <c r="O5" s="681" t="inlineStr">
        <is>
          <t>W10</t>
        </is>
      </c>
      <c r="P5" s="681" t="inlineStr">
        <is>
          <t>W11</t>
        </is>
      </c>
      <c r="Q5" s="681" t="inlineStr">
        <is>
          <t>W12</t>
        </is>
      </c>
      <c r="R5" s="682" t="n"/>
      <c r="S5" s="682" t="n"/>
      <c r="T5" s="682" t="n"/>
      <c r="U5" s="682" t="n"/>
      <c r="V5" s="682" t="n"/>
      <c r="W5" s="682" t="n"/>
      <c r="X5" s="682" t="n"/>
      <c r="Y5" s="682" t="n"/>
      <c r="Z5" s="671" t="n"/>
      <c r="AA5" s="671" t="n"/>
      <c r="AB5" s="671" t="n"/>
      <c r="AC5" s="672" t="n"/>
      <c r="AD5" s="672" t="n"/>
      <c r="AE5" s="672" t="n"/>
      <c r="AF5" s="672" t="n"/>
      <c r="AG5" s="672" t="n"/>
      <c r="AH5" s="672" t="n"/>
      <c r="AI5" s="672" t="n"/>
      <c r="AJ5" s="672" t="n"/>
      <c r="AK5" s="672" t="n"/>
      <c r="AL5" s="672" t="n"/>
      <c r="AM5" s="672" t="n"/>
      <c r="AN5" s="672" t="n"/>
      <c r="AO5" s="672" t="n"/>
      <c r="AP5" s="672" t="n"/>
      <c r="AQ5" s="672" t="n"/>
      <c r="AR5" s="672" t="n"/>
    </row>
    <row r="6" ht="15" customHeight="1" thickBot="1">
      <c r="A6" s="667" t="n"/>
      <c r="B6" s="683" t="inlineStr">
        <is>
          <t>I.A</t>
        </is>
      </c>
      <c r="C6" s="684">
        <f>VLOOKUP($B6,'2. WBS'!$B$5:$L$64,2,FALSE)</f>
        <v/>
      </c>
      <c r="D6" s="685" t="inlineStr">
        <is>
          <t>W1</t>
        </is>
      </c>
      <c r="E6" s="685" t="inlineStr">
        <is>
          <t>W1</t>
        </is>
      </c>
      <c r="F6" s="686" t="n"/>
      <c r="G6" s="687" t="n"/>
      <c r="H6" s="682" t="n"/>
      <c r="I6" s="682" t="n"/>
      <c r="J6" s="682" t="n"/>
      <c r="K6" s="682" t="n"/>
      <c r="L6" s="682" t="n"/>
      <c r="M6" s="682" t="n"/>
      <c r="N6" s="682" t="n"/>
      <c r="O6" s="682" t="n"/>
      <c r="P6" s="682" t="n"/>
      <c r="Q6" s="682" t="n"/>
      <c r="R6" s="682" t="n"/>
      <c r="S6" s="682" t="n"/>
      <c r="T6" s="682" t="n"/>
      <c r="U6" s="682" t="n"/>
      <c r="V6" s="682" t="n"/>
      <c r="W6" s="682" t="n"/>
      <c r="X6" s="671" t="n"/>
      <c r="Y6" s="671" t="n"/>
      <c r="Z6" s="671" t="n"/>
      <c r="AA6" s="672" t="n"/>
      <c r="AB6" s="672" t="n"/>
      <c r="AC6" s="672" t="n"/>
      <c r="AD6" s="672" t="n"/>
      <c r="AE6" s="672" t="n"/>
      <c r="AF6" s="672" t="n"/>
      <c r="AG6" s="672" t="n"/>
      <c r="AH6" s="672" t="n"/>
      <c r="AI6" s="672" t="n"/>
      <c r="AJ6" s="672" t="n"/>
      <c r="AK6" s="672" t="n"/>
      <c r="AL6" s="672" t="n"/>
      <c r="AM6" s="672" t="n"/>
      <c r="AN6" s="672" t="n"/>
      <c r="AO6" s="672" t="n"/>
      <c r="AP6" s="672" t="n"/>
      <c r="AQ6" s="672" t="n"/>
      <c r="AR6" s="672" t="n"/>
    </row>
    <row r="7" ht="15" customHeight="1" thickBot="1">
      <c r="A7" s="667" t="n"/>
      <c r="B7" s="688" t="inlineStr">
        <is>
          <t>I.B</t>
        </is>
      </c>
      <c r="C7" s="689">
        <f>VLOOKUP($B7,'2. WBS'!$B$5:$L$64,2,FALSE)</f>
        <v/>
      </c>
      <c r="D7" s="685" t="inlineStr">
        <is>
          <t>W2</t>
        </is>
      </c>
      <c r="E7" s="685" t="inlineStr">
        <is>
          <t>W2</t>
        </is>
      </c>
      <c r="F7" s="687" t="n"/>
      <c r="G7" s="686" t="n"/>
      <c r="H7" s="687" t="n"/>
      <c r="I7" s="687" t="n"/>
      <c r="J7" s="687" t="n"/>
      <c r="K7" s="687" t="n"/>
      <c r="L7" s="687" t="n"/>
      <c r="M7" s="687" t="n"/>
      <c r="N7" s="687" t="n"/>
      <c r="O7" s="687" t="n"/>
      <c r="P7" s="687" t="n"/>
      <c r="Q7" s="687" t="n"/>
      <c r="R7" s="687" t="n"/>
      <c r="S7" s="687" t="n"/>
      <c r="T7" s="687" t="n"/>
      <c r="U7" s="687" t="n"/>
      <c r="V7" s="687" t="n"/>
      <c r="W7" s="687" t="n"/>
      <c r="X7" s="687" t="n"/>
      <c r="Y7" s="687" t="n"/>
      <c r="Z7" s="671" t="n"/>
      <c r="AA7" s="671" t="n"/>
      <c r="AB7" s="671" t="n"/>
      <c r="AC7" s="672" t="n"/>
      <c r="AD7" s="672" t="n"/>
      <c r="AE7" s="672" t="n"/>
      <c r="AF7" s="672" t="n"/>
      <c r="AG7" s="672" t="n"/>
      <c r="AH7" s="672" t="n"/>
      <c r="AI7" s="672" t="n"/>
      <c r="AJ7" s="672" t="n"/>
      <c r="AK7" s="672" t="n"/>
      <c r="AL7" s="672" t="n"/>
      <c r="AM7" s="672" t="n"/>
      <c r="AN7" s="672" t="n"/>
      <c r="AO7" s="672" t="n"/>
      <c r="AP7" s="672" t="n"/>
      <c r="AQ7" s="672" t="n"/>
      <c r="AR7" s="672" t="n"/>
    </row>
    <row r="8" ht="15" customHeight="1" thickBot="1">
      <c r="A8" s="667" t="n"/>
      <c r="B8" s="690" t="inlineStr">
        <is>
          <t>II.A</t>
        </is>
      </c>
      <c r="C8" s="691">
        <f>VLOOKUP($B8,'2. WBS'!$B$5:$L$64,2,FALSE)</f>
        <v/>
      </c>
      <c r="D8" s="685" t="inlineStr">
        <is>
          <t>W3</t>
        </is>
      </c>
      <c r="E8" s="685" t="inlineStr">
        <is>
          <t>W7</t>
        </is>
      </c>
      <c r="F8" s="671" t="n"/>
      <c r="G8" s="671" t="n"/>
      <c r="H8" s="692" t="n"/>
      <c r="I8" s="692" t="n"/>
      <c r="J8" s="693" t="n"/>
      <c r="K8" s="693" t="n"/>
      <c r="L8" s="693" t="n"/>
      <c r="M8" s="671" t="n"/>
      <c r="N8" s="671" t="n"/>
      <c r="O8" s="670" t="n"/>
      <c r="P8" s="670" t="n"/>
      <c r="Q8" s="670" t="n"/>
      <c r="R8" s="687" t="n"/>
      <c r="S8" s="671" t="n"/>
      <c r="T8" s="671" t="n"/>
      <c r="U8" s="671" t="n"/>
      <c r="V8" s="687" t="n"/>
      <c r="W8" s="671" t="n"/>
      <c r="X8" s="671" t="n"/>
      <c r="Y8" s="671" t="n"/>
      <c r="Z8" s="671" t="n"/>
      <c r="AA8" s="671" t="n"/>
      <c r="AB8" s="671" t="n"/>
      <c r="AC8" s="672" t="n"/>
      <c r="AD8" s="672" t="n"/>
      <c r="AE8" s="672" t="n"/>
      <c r="AF8" s="672" t="n"/>
      <c r="AG8" s="672" t="n"/>
      <c r="AH8" s="672" t="n"/>
      <c r="AI8" s="672" t="n"/>
      <c r="AJ8" s="672" t="n"/>
      <c r="AK8" s="672" t="n"/>
      <c r="AL8" s="672" t="n"/>
      <c r="AM8" s="672" t="n"/>
      <c r="AN8" s="672" t="n"/>
      <c r="AO8" s="672" t="n"/>
      <c r="AP8" s="672" t="n"/>
      <c r="AQ8" s="672" t="n"/>
      <c r="AR8" s="672" t="n"/>
    </row>
    <row r="9" ht="15" customHeight="1" thickBot="1">
      <c r="A9" s="673" t="n"/>
      <c r="B9" s="690" t="inlineStr">
        <is>
          <t>II.B</t>
        </is>
      </c>
      <c r="C9" s="691">
        <f>VLOOKUP($B9,'2. WBS'!$B$5:$L$64,2,FALSE)</f>
        <v/>
      </c>
      <c r="D9" s="685" t="inlineStr">
        <is>
          <t>W8</t>
        </is>
      </c>
      <c r="E9" s="685" t="inlineStr">
        <is>
          <t>W8</t>
        </is>
      </c>
      <c r="F9" s="671" t="n"/>
      <c r="G9" s="671" t="n"/>
      <c r="H9" s="667" t="n"/>
      <c r="I9" s="667" t="n"/>
      <c r="J9" s="694" t="n"/>
      <c r="K9" s="694" t="n"/>
      <c r="L9" s="694" t="n"/>
      <c r="M9" s="692" t="n"/>
      <c r="N9" s="694" t="n"/>
      <c r="O9" s="670" t="n"/>
      <c r="P9" s="670" t="n"/>
      <c r="Q9" s="670" t="n"/>
      <c r="R9" s="687" t="n"/>
      <c r="S9" s="671" t="n"/>
      <c r="T9" s="671" t="n"/>
      <c r="U9" s="671" t="n"/>
      <c r="V9" s="687" t="n"/>
      <c r="W9" s="671" t="n"/>
      <c r="X9" s="671" t="n"/>
      <c r="Y9" s="671" t="n"/>
      <c r="Z9" s="671" t="n"/>
      <c r="AA9" s="671" t="n"/>
      <c r="AB9" s="671" t="n"/>
      <c r="AC9" s="672" t="n"/>
      <c r="AD9" s="672" t="n"/>
      <c r="AE9" s="672" t="n"/>
      <c r="AF9" s="672" t="n"/>
      <c r="AG9" s="672" t="n"/>
      <c r="AH9" s="672" t="n"/>
      <c r="AI9" s="672" t="n"/>
      <c r="AJ9" s="672" t="n"/>
      <c r="AK9" s="672" t="n"/>
      <c r="AL9" s="672" t="n"/>
      <c r="AM9" s="672" t="n"/>
      <c r="AN9" s="672" t="n"/>
      <c r="AO9" s="672" t="n"/>
      <c r="AP9" s="672" t="n"/>
      <c r="AQ9" s="672" t="n"/>
      <c r="AR9" s="672" t="n"/>
    </row>
    <row r="10" ht="15" customHeight="1" thickBot="1">
      <c r="A10" s="667" t="n"/>
      <c r="B10" s="688" t="inlineStr">
        <is>
          <t>II.C</t>
        </is>
      </c>
      <c r="C10" s="689">
        <f>VLOOKUP($B10,'2. WBS'!$B$5:$L$64,2,FALSE)</f>
        <v/>
      </c>
      <c r="D10" s="685" t="inlineStr">
        <is>
          <t>W9</t>
        </is>
      </c>
      <c r="E10" s="685" t="inlineStr">
        <is>
          <t>W9</t>
        </is>
      </c>
      <c r="F10" s="671" t="n"/>
      <c r="G10" s="671" t="n"/>
      <c r="H10" s="671" t="n"/>
      <c r="I10" s="671" t="n"/>
      <c r="J10" s="671" t="n"/>
      <c r="K10" s="671" t="n"/>
      <c r="L10" s="671" t="n"/>
      <c r="M10" s="671" t="n"/>
      <c r="N10" s="693" t="n"/>
      <c r="O10" s="671" t="n"/>
      <c r="P10" s="671" t="n"/>
      <c r="Q10" s="671" t="n"/>
      <c r="R10" s="671" t="n"/>
      <c r="S10" s="671" t="n"/>
      <c r="T10" s="671" t="n"/>
      <c r="U10" s="671" t="n"/>
      <c r="V10" s="671" t="n"/>
      <c r="W10" s="671" t="n"/>
      <c r="X10" s="671" t="n"/>
      <c r="Y10" s="671" t="n"/>
      <c r="Z10" s="671" t="n"/>
      <c r="AA10" s="671" t="n"/>
      <c r="AB10" s="671" t="n"/>
      <c r="AC10" s="672" t="n"/>
      <c r="AD10" s="672" t="n"/>
      <c r="AE10" s="672" t="n"/>
      <c r="AF10" s="672" t="n"/>
      <c r="AG10" s="672" t="n"/>
      <c r="AH10" s="672" t="n"/>
      <c r="AI10" s="672" t="n"/>
      <c r="AJ10" s="672" t="n"/>
      <c r="AK10" s="672" t="n"/>
      <c r="AL10" s="672" t="n"/>
      <c r="AM10" s="672" t="n"/>
      <c r="AN10" s="672" t="n"/>
      <c r="AO10" s="672" t="n"/>
      <c r="AP10" s="672" t="n"/>
      <c r="AQ10" s="672" t="n"/>
      <c r="AR10" s="672" t="n"/>
    </row>
    <row r="11" ht="15" customHeight="1" thickBot="1">
      <c r="A11" s="667" t="n"/>
      <c r="B11" s="690" t="inlineStr">
        <is>
          <t>II.D</t>
        </is>
      </c>
      <c r="C11" s="691">
        <f>VLOOKUP($B11,'2. WBS'!$B$5:$L$64,2,FALSE)</f>
        <v/>
      </c>
      <c r="D11" s="685" t="inlineStr">
        <is>
          <t>W10</t>
        </is>
      </c>
      <c r="E11" s="685" t="inlineStr">
        <is>
          <t>W10</t>
        </is>
      </c>
      <c r="F11" s="671" t="n"/>
      <c r="G11" s="667" t="n"/>
      <c r="H11" s="667" t="n"/>
      <c r="I11" s="667" t="n"/>
      <c r="J11" s="671" t="n"/>
      <c r="K11" s="671" t="n"/>
      <c r="L11" s="671" t="n"/>
      <c r="M11" s="671" t="n"/>
      <c r="N11" s="671" t="n"/>
      <c r="O11" s="695" t="n"/>
      <c r="P11" s="670" t="n"/>
      <c r="Q11" s="670" t="n"/>
      <c r="R11" s="670" t="n"/>
      <c r="S11" s="670" t="n"/>
      <c r="T11" s="671" t="n"/>
      <c r="U11" s="671" t="n"/>
      <c r="V11" s="670" t="n"/>
      <c r="W11" s="670" t="n"/>
      <c r="X11" s="671" t="n"/>
      <c r="Y11" s="671" t="n"/>
      <c r="Z11" s="671" t="n"/>
      <c r="AA11" s="671" t="n"/>
      <c r="AB11" s="671" t="n"/>
      <c r="AC11" s="672" t="n"/>
      <c r="AD11" s="672" t="n"/>
      <c r="AE11" s="672" t="n"/>
      <c r="AF11" s="672" t="n"/>
      <c r="AG11" s="672" t="n"/>
      <c r="AH11" s="672" t="n"/>
      <c r="AI11" s="672" t="n"/>
      <c r="AJ11" s="672" t="n"/>
      <c r="AK11" s="672" t="n"/>
      <c r="AL11" s="672" t="n"/>
      <c r="AM11" s="672" t="n"/>
      <c r="AN11" s="672" t="n"/>
      <c r="AO11" s="672" t="n"/>
      <c r="AP11" s="672" t="n"/>
      <c r="AQ11" s="672" t="n"/>
      <c r="AR11" s="672" t="n"/>
    </row>
    <row r="12" ht="15" customHeight="1" thickBot="1">
      <c r="A12" s="667" t="n"/>
      <c r="B12" s="690" t="inlineStr">
        <is>
          <t>II.E</t>
        </is>
      </c>
      <c r="C12" s="691">
        <f>VLOOKUP($B12,'2. WBS'!$B$5:$L$64,2,FALSE)</f>
        <v/>
      </c>
      <c r="D12" s="685" t="inlineStr">
        <is>
          <t>W11</t>
        </is>
      </c>
      <c r="E12" s="685" t="inlineStr">
        <is>
          <t>W11</t>
        </is>
      </c>
      <c r="F12" s="671" t="n"/>
      <c r="G12" s="667" t="n"/>
      <c r="H12" s="667" t="n"/>
      <c r="I12" s="667" t="n"/>
      <c r="J12" s="671" t="n"/>
      <c r="K12" s="671" t="n"/>
      <c r="L12" s="671" t="n"/>
      <c r="M12" s="671" t="n"/>
      <c r="N12" s="671" t="n"/>
      <c r="O12" s="670" t="n"/>
      <c r="P12" s="695" t="n"/>
      <c r="Q12" s="670" t="n"/>
      <c r="R12" s="696" t="n"/>
      <c r="S12" s="696" t="n"/>
      <c r="T12" s="671" t="n"/>
      <c r="U12" s="671" t="n"/>
      <c r="V12" s="696" t="n"/>
      <c r="W12" s="696" t="n"/>
      <c r="X12" s="671" t="n"/>
      <c r="Y12" s="671" t="n"/>
      <c r="Z12" s="671" t="n"/>
      <c r="AA12" s="671" t="n"/>
      <c r="AB12" s="671" t="n"/>
      <c r="AC12" s="672" t="n"/>
      <c r="AD12" s="672" t="n"/>
      <c r="AE12" s="672" t="n"/>
      <c r="AF12" s="672" t="n"/>
      <c r="AG12" s="672" t="n"/>
      <c r="AH12" s="672" t="n"/>
      <c r="AI12" s="672" t="n"/>
      <c r="AJ12" s="672" t="n"/>
      <c r="AK12" s="672" t="n"/>
      <c r="AL12" s="672" t="n"/>
      <c r="AM12" s="672" t="n"/>
      <c r="AN12" s="672" t="n"/>
      <c r="AO12" s="672" t="n"/>
      <c r="AP12" s="672" t="n"/>
      <c r="AQ12" s="672" t="n"/>
      <c r="AR12" s="672" t="n"/>
    </row>
    <row r="13" ht="15" customHeight="1" thickBot="1">
      <c r="A13" s="667" t="n"/>
      <c r="B13" s="690" t="inlineStr">
        <is>
          <t>III.A</t>
        </is>
      </c>
      <c r="C13" s="691">
        <f>VLOOKUP($B13,'2. WBS'!$B$5:$L$64,2,FALSE)</f>
        <v/>
      </c>
      <c r="D13" s="685" t="inlineStr">
        <is>
          <t>W12</t>
        </is>
      </c>
      <c r="E13" s="685" t="inlineStr">
        <is>
          <t>W12</t>
        </is>
      </c>
      <c r="F13" s="671" t="n"/>
      <c r="G13" s="667" t="n"/>
      <c r="H13" s="667" t="n"/>
      <c r="I13" s="667" t="n"/>
      <c r="J13" s="671" t="n"/>
      <c r="K13" s="671" t="n"/>
      <c r="L13" s="671" t="n"/>
      <c r="M13" s="671" t="n"/>
      <c r="N13" s="671" t="n"/>
      <c r="O13" s="670" t="n"/>
      <c r="P13" s="670" t="n"/>
      <c r="Q13" s="695" t="n"/>
      <c r="R13" s="696" t="n"/>
      <c r="S13" s="696" t="n"/>
      <c r="T13" s="671" t="n"/>
      <c r="U13" s="671" t="n"/>
      <c r="V13" s="696" t="n"/>
      <c r="W13" s="696" t="n"/>
      <c r="X13" s="671" t="n"/>
      <c r="Y13" s="671" t="n"/>
      <c r="Z13" s="671" t="n"/>
      <c r="AA13" s="671" t="n"/>
      <c r="AB13" s="671" t="n"/>
      <c r="AC13" s="672" t="n"/>
      <c r="AD13" s="672" t="n"/>
      <c r="AE13" s="672" t="n"/>
      <c r="AF13" s="672" t="n"/>
      <c r="AG13" s="672" t="n"/>
      <c r="AH13" s="672" t="n"/>
      <c r="AI13" s="672" t="n"/>
      <c r="AJ13" s="672" t="n"/>
      <c r="AK13" s="672" t="n"/>
      <c r="AL13" s="672" t="n"/>
      <c r="AM13" s="672" t="n"/>
      <c r="AN13" s="672" t="n"/>
      <c r="AO13" s="672" t="n"/>
      <c r="AP13" s="672" t="n"/>
      <c r="AQ13" s="672" t="n"/>
      <c r="AR13" s="672" t="n"/>
    </row>
    <row r="14" ht="15" customHeight="1" thickBot="1">
      <c r="A14" s="667" t="n"/>
      <c r="B14" s="688" t="inlineStr">
        <is>
          <t>III.B</t>
        </is>
      </c>
      <c r="C14" s="689">
        <f>VLOOKUP($B14,'2. WBS'!$B$5:$L$64,2,FALSE)</f>
        <v/>
      </c>
      <c r="D14" s="685" t="inlineStr">
        <is>
          <t>W12</t>
        </is>
      </c>
      <c r="E14" s="685" t="inlineStr">
        <is>
          <t>W12</t>
        </is>
      </c>
      <c r="F14" s="671" t="n"/>
      <c r="G14" s="671" t="n"/>
      <c r="H14" s="671" t="n"/>
      <c r="I14" s="671" t="n"/>
      <c r="J14" s="671" t="n"/>
      <c r="K14" s="671" t="n"/>
      <c r="L14" s="671" t="n"/>
      <c r="M14" s="671" t="n"/>
      <c r="N14" s="671" t="n"/>
      <c r="O14" s="671" t="n"/>
      <c r="P14" s="671" t="n"/>
      <c r="Q14" s="693" t="n"/>
      <c r="R14" s="671" t="n"/>
      <c r="S14" s="671" t="n"/>
      <c r="T14" s="671" t="n"/>
      <c r="U14" s="671" t="n"/>
      <c r="V14" s="671" t="n"/>
      <c r="W14" s="671" t="n"/>
      <c r="X14" s="671" t="n"/>
      <c r="Y14" s="671" t="n"/>
      <c r="Z14" s="671" t="n"/>
      <c r="AA14" s="671" t="n"/>
      <c r="AB14" s="671" t="n"/>
      <c r="AC14" s="672" t="n"/>
      <c r="AD14" s="672" t="n"/>
      <c r="AE14" s="672" t="n"/>
      <c r="AF14" s="672" t="n"/>
      <c r="AG14" s="672" t="n"/>
      <c r="AH14" s="672" t="n"/>
      <c r="AI14" s="672" t="n"/>
      <c r="AJ14" s="672" t="n"/>
      <c r="AK14" s="672" t="n"/>
      <c r="AL14" s="672" t="n"/>
      <c r="AM14" s="672" t="n"/>
      <c r="AN14" s="672" t="n"/>
      <c r="AO14" s="672" t="n"/>
      <c r="AP14" s="672" t="n"/>
      <c r="AQ14" s="672" t="n"/>
      <c r="AR14" s="672" t="n"/>
    </row>
    <row r="15" ht="15" customHeight="1" thickBot="1">
      <c r="A15" s="667" t="n"/>
      <c r="B15" s="697" t="n"/>
      <c r="C15" s="698" t="n"/>
      <c r="D15" s="699" t="n"/>
      <c r="E15" s="699" t="n"/>
      <c r="F15" s="671" t="n"/>
      <c r="G15" s="667" t="n"/>
      <c r="H15" s="667" t="n"/>
      <c r="I15" s="667" t="n"/>
      <c r="J15" s="671" t="n"/>
      <c r="K15" s="671" t="n"/>
      <c r="L15" s="671" t="n"/>
      <c r="M15" s="671" t="n"/>
      <c r="N15" s="671" t="n"/>
      <c r="O15" s="670" t="n"/>
      <c r="P15" s="670" t="n"/>
      <c r="Q15" s="670" t="n"/>
      <c r="R15" s="696" t="n"/>
      <c r="S15" s="672" t="n"/>
      <c r="T15" s="672" t="n"/>
      <c r="U15" s="672" t="n"/>
      <c r="V15" s="670" t="n"/>
      <c r="W15" s="670" t="n"/>
      <c r="X15" s="671" t="n"/>
      <c r="Y15" s="671" t="n"/>
      <c r="Z15" s="671" t="n"/>
      <c r="AA15" s="671" t="n"/>
      <c r="AB15" s="671" t="n"/>
      <c r="AC15" s="672" t="n"/>
      <c r="AD15" s="672" t="n"/>
      <c r="AE15" s="672" t="n"/>
      <c r="AF15" s="672" t="n"/>
      <c r="AG15" s="672" t="n"/>
      <c r="AH15" s="672" t="n"/>
      <c r="AI15" s="672" t="n"/>
      <c r="AJ15" s="672" t="n"/>
      <c r="AK15" s="672" t="n"/>
      <c r="AL15" s="672" t="n"/>
      <c r="AM15" s="672" t="n"/>
      <c r="AN15" s="672" t="n"/>
      <c r="AO15" s="672" t="n"/>
      <c r="AP15" s="672" t="n"/>
      <c r="AQ15" s="672" t="n"/>
      <c r="AR15" s="672" t="n"/>
    </row>
    <row r="16" ht="15" customHeight="1" thickBot="1">
      <c r="A16" s="667" t="n"/>
      <c r="B16" s="697" t="n"/>
      <c r="C16" s="700" t="inlineStr">
        <is>
          <t>Resource Planning</t>
        </is>
      </c>
      <c r="D16" s="699" t="n"/>
      <c r="E16" s="699" t="n"/>
      <c r="F16" s="671" t="n"/>
      <c r="G16" s="667" t="n"/>
      <c r="H16" s="667" t="n"/>
      <c r="I16" s="667" t="n"/>
      <c r="J16" s="671" t="n"/>
      <c r="K16" s="671" t="n"/>
      <c r="L16" s="671" t="n"/>
      <c r="M16" s="671" t="n"/>
      <c r="N16" s="671" t="n"/>
      <c r="O16" s="670" t="n"/>
      <c r="P16" s="670" t="n"/>
      <c r="Q16" s="670" t="n"/>
      <c r="R16" s="696" t="n"/>
      <c r="S16" s="696" t="n"/>
      <c r="T16" s="701" t="n"/>
      <c r="U16" s="671" t="n"/>
      <c r="V16" s="702" t="n"/>
      <c r="W16" s="672" t="n"/>
      <c r="X16" s="672" t="n"/>
      <c r="Y16" s="672" t="n"/>
      <c r="Z16" s="671" t="n"/>
      <c r="AA16" s="671" t="n"/>
      <c r="AB16" s="671" t="n"/>
      <c r="AC16" s="672" t="n"/>
      <c r="AD16" s="672" t="n"/>
      <c r="AE16" s="672" t="n"/>
      <c r="AF16" s="672" t="n"/>
      <c r="AG16" s="672" t="n"/>
      <c r="AH16" s="672" t="n"/>
      <c r="AI16" s="672" t="n"/>
      <c r="AJ16" s="672" t="n"/>
      <c r="AK16" s="672" t="n"/>
      <c r="AL16" s="672" t="n"/>
      <c r="AM16" s="672" t="n"/>
      <c r="AN16" s="672" t="n"/>
      <c r="AO16" s="672" t="n"/>
      <c r="AP16" s="672" t="n"/>
      <c r="AQ16" s="672" t="n"/>
      <c r="AR16" s="672" t="n"/>
    </row>
    <row r="17" ht="15" customHeight="1" thickBot="1">
      <c r="A17" s="667" t="n"/>
      <c r="B17" s="667" t="n">
        <v>1</v>
      </c>
      <c r="C17" s="667" t="inlineStr">
        <is>
          <t>Project Manager</t>
        </is>
      </c>
      <c r="D17" s="667" t="inlineStr">
        <is>
          <t>TBD</t>
        </is>
      </c>
      <c r="E17" s="667" t="inlineStr">
        <is>
          <t>TBD</t>
        </is>
      </c>
      <c r="F17" s="667" t="n"/>
      <c r="G17" s="667" t="n"/>
      <c r="H17" s="667" t="n"/>
      <c r="I17" s="667" t="n"/>
      <c r="J17" s="667" t="n"/>
      <c r="K17" s="667" t="n"/>
      <c r="L17" s="667" t="n"/>
      <c r="M17" s="667" t="n"/>
      <c r="N17" s="667" t="n"/>
      <c r="O17" s="667" t="n"/>
      <c r="P17" s="667" t="n"/>
      <c r="Q17" s="667" t="n"/>
      <c r="R17" s="671" t="n"/>
      <c r="S17" s="671" t="n"/>
      <c r="T17" s="667" t="n"/>
      <c r="U17" s="667" t="n"/>
      <c r="V17" s="667" t="n"/>
      <c r="W17" s="667" t="n"/>
      <c r="X17" s="667" t="n"/>
      <c r="Y17" s="667" t="n"/>
      <c r="Z17" s="667" t="n"/>
      <c r="AA17" s="667" t="n"/>
      <c r="AB17" s="667" t="n"/>
      <c r="AC17" s="667" t="n"/>
      <c r="AD17" s="667" t="n"/>
      <c r="AE17" s="667" t="n"/>
      <c r="AF17" s="667" t="n"/>
      <c r="AG17" s="667" t="n"/>
      <c r="AH17" s="667" t="n"/>
      <c r="AI17" s="667" t="n"/>
      <c r="AJ17" s="667" t="n"/>
      <c r="AK17" s="667" t="n"/>
      <c r="AL17" s="667" t="n"/>
      <c r="AM17" s="667" t="n"/>
      <c r="AN17" s="672" t="n"/>
      <c r="AO17" s="672" t="n"/>
      <c r="AP17" s="672" t="n"/>
      <c r="AQ17" s="672" t="n"/>
      <c r="AR17" s="672" t="n"/>
    </row>
    <row r="18" ht="18.6" customHeight="1" thickBot="1">
      <c r="A18" s="667" t="n"/>
      <c r="B18" s="696" t="n">
        <v>2</v>
      </c>
      <c r="C18" s="703" t="inlineStr">
        <is>
          <t>Technical Lead</t>
        </is>
      </c>
      <c r="D18" s="704" t="inlineStr">
        <is>
          <t>TBD</t>
        </is>
      </c>
      <c r="E18" s="704" t="inlineStr">
        <is>
          <t>TBD</t>
        </is>
      </c>
      <c r="F18" s="704" t="n"/>
      <c r="G18" s="704" t="n"/>
      <c r="H18" s="704" t="n"/>
      <c r="I18" s="704" t="n"/>
      <c r="J18" s="704" t="n"/>
      <c r="K18" s="704" t="n"/>
      <c r="L18" s="704" t="n"/>
      <c r="M18" s="704" t="n"/>
      <c r="N18" s="704" t="n"/>
      <c r="O18" s="704" t="n"/>
      <c r="P18" s="704" t="n"/>
      <c r="Q18" s="704" t="n"/>
      <c r="R18" s="704" t="n"/>
      <c r="S18" s="704" t="n"/>
      <c r="T18" s="704" t="n"/>
      <c r="U18" s="704" t="n"/>
      <c r="V18" s="672" t="n"/>
      <c r="W18" s="671" t="n"/>
      <c r="X18" s="667" t="n"/>
      <c r="Y18" s="667" t="n"/>
      <c r="Z18" s="667" t="n"/>
      <c r="AA18" s="667" t="n"/>
      <c r="AB18" s="667" t="n"/>
      <c r="AC18" s="667" t="n"/>
      <c r="AD18" s="667" t="n"/>
      <c r="AE18" s="667" t="n"/>
      <c r="AF18" s="667" t="n"/>
      <c r="AG18" s="667" t="n"/>
      <c r="AH18" s="667" t="n"/>
      <c r="AI18" s="667" t="n"/>
      <c r="AJ18" s="667" t="n"/>
      <c r="AK18" s="667" t="n"/>
      <c r="AL18" s="667" t="n"/>
      <c r="AM18" s="667" t="n"/>
      <c r="AN18" s="672" t="n"/>
      <c r="AO18" s="672" t="n"/>
      <c r="AP18" s="672" t="n"/>
      <c r="AQ18" s="672" t="n"/>
      <c r="AR18" s="672" t="n"/>
    </row>
    <row r="19" ht="17.45" customHeight="1">
      <c r="A19" s="667" t="n"/>
      <c r="B19" s="696" t="n">
        <v>3</v>
      </c>
      <c r="C19" s="705" t="inlineStr">
        <is>
          <t>Developer</t>
        </is>
      </c>
      <c r="D19" s="699" t="inlineStr">
        <is>
          <t>TBD</t>
        </is>
      </c>
      <c r="E19" s="699" t="inlineStr">
        <is>
          <t>TBD</t>
        </is>
      </c>
      <c r="F19" s="706" t="n"/>
      <c r="G19" s="706" t="n"/>
      <c r="H19" s="706" t="n"/>
      <c r="I19" s="706" t="n"/>
      <c r="J19" s="706" t="n"/>
      <c r="K19" s="706" t="n"/>
      <c r="L19" s="706" t="n"/>
      <c r="M19" s="706" t="n"/>
      <c r="N19" s="706" t="n"/>
      <c r="O19" s="706" t="n"/>
      <c r="P19" s="706" t="n"/>
      <c r="Q19" s="706" t="n"/>
      <c r="R19" s="706" t="n"/>
      <c r="S19" s="706" t="n"/>
      <c r="T19" s="674" t="n"/>
      <c r="U19" s="674" t="n"/>
      <c r="V19" s="671" t="n"/>
      <c r="W19" s="671" t="n"/>
      <c r="X19" s="667" t="n"/>
      <c r="Y19" s="667" t="n"/>
      <c r="Z19" s="667" t="n"/>
      <c r="AA19" s="667" t="n"/>
      <c r="AB19" s="667" t="n"/>
      <c r="AC19" s="667" t="n"/>
      <c r="AD19" s="667" t="n"/>
      <c r="AE19" s="667" t="n"/>
      <c r="AF19" s="667" t="n"/>
      <c r="AG19" s="667" t="n"/>
      <c r="AH19" s="667" t="n"/>
      <c r="AI19" s="667" t="n"/>
      <c r="AJ19" s="667" t="n"/>
      <c r="AK19" s="667" t="n"/>
      <c r="AL19" s="667" t="n"/>
      <c r="AM19" s="667" t="n"/>
      <c r="AN19" s="672" t="n"/>
      <c r="AO19" s="672" t="n"/>
      <c r="AP19" s="672" t="n"/>
      <c r="AQ19" s="672" t="n"/>
      <c r="AR19" s="672" t="n"/>
    </row>
    <row r="20" ht="17.45" customHeight="1">
      <c r="A20" s="667" t="n"/>
      <c r="B20" s="696" t="n">
        <v>4</v>
      </c>
      <c r="C20" s="705" t="inlineStr">
        <is>
          <t>Business Analyst</t>
        </is>
      </c>
      <c r="D20" s="699" t="inlineStr">
        <is>
          <t>TBD</t>
        </is>
      </c>
      <c r="E20" s="699" t="inlineStr">
        <is>
          <t>TBD</t>
        </is>
      </c>
      <c r="F20" s="706" t="n"/>
      <c r="G20" s="706" t="n"/>
      <c r="H20" s="706" t="n"/>
      <c r="I20" s="706" t="n"/>
      <c r="J20" s="706" t="n"/>
      <c r="K20" s="706" t="n"/>
      <c r="L20" s="706" t="n"/>
      <c r="M20" s="706" t="n"/>
      <c r="N20" s="706" t="n"/>
      <c r="O20" s="706" t="n"/>
      <c r="P20" s="706" t="n"/>
      <c r="Q20" s="706" t="n"/>
      <c r="R20" s="706" t="n"/>
      <c r="S20" s="706" t="n"/>
      <c r="T20" s="674" t="n"/>
      <c r="U20" s="674" t="n"/>
      <c r="V20" s="671" t="n"/>
      <c r="W20" s="671" t="n"/>
      <c r="X20" s="667" t="n"/>
      <c r="Y20" s="667" t="n"/>
      <c r="Z20" s="667" t="n"/>
      <c r="AA20" s="667" t="n"/>
      <c r="AB20" s="667" t="n"/>
      <c r="AC20" s="667" t="n"/>
      <c r="AD20" s="667" t="n"/>
      <c r="AE20" s="667" t="n"/>
      <c r="AF20" s="667" t="n"/>
      <c r="AG20" s="667" t="n"/>
      <c r="AH20" s="667" t="n"/>
      <c r="AI20" s="667" t="n"/>
      <c r="AJ20" s="667" t="n"/>
      <c r="AK20" s="667" t="n"/>
      <c r="AL20" s="667" t="n"/>
      <c r="AM20" s="667" t="n"/>
      <c r="AN20" s="672" t="n"/>
      <c r="AO20" s="672" t="n"/>
      <c r="AP20" s="672" t="n"/>
      <c r="AQ20" s="672" t="n"/>
      <c r="AR20" s="672" t="n"/>
    </row>
    <row r="21" ht="17.45" customHeight="1">
      <c r="A21" s="667" t="n"/>
      <c r="B21" s="696" t="n">
        <v>5</v>
      </c>
      <c r="C21" s="705" t="inlineStr">
        <is>
          <t>Quality Controller</t>
        </is>
      </c>
      <c r="D21" s="699" t="inlineStr">
        <is>
          <t>TBD</t>
        </is>
      </c>
      <c r="E21" s="699" t="inlineStr">
        <is>
          <t>TBD</t>
        </is>
      </c>
      <c r="F21" s="706" t="n"/>
      <c r="G21" s="706" t="n"/>
      <c r="H21" s="706" t="n"/>
      <c r="I21" s="706" t="n"/>
      <c r="J21" s="706" t="n"/>
      <c r="K21" s="706" t="n"/>
      <c r="L21" s="706" t="n"/>
      <c r="M21" s="706" t="n"/>
      <c r="N21" s="706" t="n"/>
      <c r="O21" s="706" t="n"/>
      <c r="P21" s="706" t="n"/>
      <c r="Q21" s="706" t="n"/>
      <c r="R21" s="706" t="n"/>
      <c r="S21" s="706" t="n"/>
      <c r="T21" s="674" t="n"/>
      <c r="U21" s="674" t="n"/>
      <c r="V21" s="671" t="n"/>
      <c r="W21" s="671" t="n"/>
      <c r="X21" s="667" t="n"/>
      <c r="Y21" s="667" t="n"/>
      <c r="Z21" s="667" t="n"/>
      <c r="AA21" s="667" t="n"/>
      <c r="AB21" s="667" t="n"/>
      <c r="AC21" s="667" t="n"/>
      <c r="AD21" s="667" t="n"/>
      <c r="AE21" s="667" t="n"/>
      <c r="AF21" s="667" t="n"/>
      <c r="AG21" s="667" t="n"/>
      <c r="AH21" s="667" t="n"/>
      <c r="AI21" s="667" t="n"/>
      <c r="AJ21" s="667" t="n"/>
      <c r="AK21" s="667" t="n"/>
      <c r="AL21" s="667" t="n"/>
      <c r="AM21" s="667" t="n"/>
      <c r="AN21" s="672" t="n"/>
      <c r="AO21" s="672" t="n"/>
      <c r="AP21" s="672" t="n"/>
      <c r="AQ21" s="672" t="n"/>
      <c r="AR21" s="672" t="n"/>
    </row>
    <row r="22" ht="17.45" customHeight="1">
      <c r="A22" s="667" t="n"/>
      <c r="B22" s="696" t="n">
        <v>6</v>
      </c>
      <c r="C22" s="705" t="inlineStr">
        <is>
          <t>Designer</t>
        </is>
      </c>
      <c r="D22" s="699" t="inlineStr">
        <is>
          <t>TBD</t>
        </is>
      </c>
      <c r="E22" s="699" t="inlineStr">
        <is>
          <t>TBD</t>
        </is>
      </c>
      <c r="F22" s="699" t="n"/>
      <c r="G22" s="699" t="n"/>
      <c r="H22" s="699" t="n"/>
      <c r="I22" s="699" t="n"/>
      <c r="J22" s="699" t="n"/>
      <c r="K22" s="699" t="n"/>
      <c r="L22" s="699" t="n"/>
      <c r="M22" s="699" t="n"/>
      <c r="N22" s="699" t="n"/>
      <c r="O22" s="699" t="n"/>
      <c r="P22" s="699" t="n"/>
      <c r="Q22" s="699" t="n"/>
      <c r="R22" s="674" t="n"/>
      <c r="S22" s="699" t="n"/>
      <c r="T22" s="674" t="n"/>
      <c r="U22" s="674" t="n"/>
      <c r="V22" s="671" t="n"/>
      <c r="W22" s="671" t="n"/>
      <c r="X22" s="667" t="n"/>
      <c r="Y22" s="667" t="n"/>
      <c r="Z22" s="667" t="n"/>
      <c r="AA22" s="667" t="n"/>
      <c r="AB22" s="667" t="n"/>
      <c r="AC22" s="667" t="n"/>
      <c r="AD22" s="667" t="n"/>
      <c r="AE22" s="667" t="n"/>
      <c r="AF22" s="667" t="n"/>
      <c r="AG22" s="667" t="n"/>
      <c r="AH22" s="667" t="n"/>
      <c r="AI22" s="667" t="n"/>
      <c r="AJ22" s="667" t="n"/>
      <c r="AK22" s="667" t="n"/>
      <c r="AL22" s="667" t="n"/>
      <c r="AM22" s="667" t="n"/>
      <c r="AN22" s="672" t="n"/>
      <c r="AO22" s="672" t="n"/>
      <c r="AP22" s="672" t="n"/>
      <c r="AQ22" s="672" t="n"/>
      <c r="AR22" s="672" t="n"/>
    </row>
    <row r="23" ht="17.45" customHeight="1">
      <c r="A23" s="667" t="n"/>
      <c r="B23" s="696" t="n">
        <v>7</v>
      </c>
      <c r="C23" s="705" t="inlineStr">
        <is>
          <t>Devops</t>
        </is>
      </c>
      <c r="D23" s="699" t="inlineStr">
        <is>
          <t>TBD</t>
        </is>
      </c>
      <c r="E23" s="699" t="inlineStr">
        <is>
          <t>TBD</t>
        </is>
      </c>
      <c r="F23" s="699" t="n"/>
      <c r="G23" s="699" t="n"/>
      <c r="H23" s="699" t="n"/>
      <c r="I23" s="699" t="n"/>
      <c r="J23" s="699" t="n"/>
      <c r="K23" s="699" t="n"/>
      <c r="L23" s="699" t="n"/>
      <c r="M23" s="699" t="n"/>
      <c r="N23" s="699" t="n"/>
      <c r="O23" s="699" t="n"/>
      <c r="P23" s="699" t="n"/>
      <c r="Q23" s="699" t="n"/>
      <c r="R23" s="699" t="n"/>
      <c r="S23" s="699" t="n"/>
      <c r="T23" s="674" t="n"/>
      <c r="U23" s="674" t="n"/>
      <c r="V23" s="671" t="n"/>
      <c r="W23" s="671" t="n"/>
      <c r="X23" s="667" t="n"/>
      <c r="Y23" s="667" t="n"/>
      <c r="Z23" s="667" t="n"/>
      <c r="AA23" s="667" t="n"/>
      <c r="AB23" s="667" t="n"/>
      <c r="AC23" s="667" t="n"/>
      <c r="AD23" s="667" t="n"/>
      <c r="AE23" s="667" t="n"/>
      <c r="AF23" s="667" t="n"/>
      <c r="AG23" s="667" t="n"/>
      <c r="AH23" s="667" t="n"/>
      <c r="AI23" s="667" t="n"/>
      <c r="AJ23" s="667" t="n"/>
      <c r="AK23" s="667" t="n"/>
      <c r="AL23" s="667" t="n"/>
      <c r="AM23" s="667" t="n"/>
      <c r="AN23" s="672" t="n"/>
      <c r="AO23" s="672" t="n"/>
      <c r="AP23" s="672" t="n"/>
      <c r="AQ23" s="672" t="n"/>
      <c r="AR23" s="672" t="n"/>
    </row>
    <row r="24" ht="17.45" customHeight="1">
      <c r="A24" s="667" t="n"/>
      <c r="B24" s="696" t="n"/>
      <c r="C24" s="705" t="n"/>
      <c r="D24" s="699" t="n"/>
      <c r="E24" s="699" t="n"/>
      <c r="F24" s="699" t="n"/>
      <c r="G24" s="699" t="n"/>
      <c r="H24" s="699" t="n"/>
      <c r="I24" s="699" t="n"/>
      <c r="J24" s="699" t="n"/>
      <c r="K24" s="699" t="n"/>
      <c r="L24" s="699" t="n"/>
      <c r="M24" s="699" t="n"/>
      <c r="N24" s="699" t="n"/>
      <c r="O24" s="699" t="n"/>
      <c r="P24" s="699" t="n"/>
      <c r="Q24" s="699" t="n"/>
      <c r="R24" s="699" t="n"/>
      <c r="S24" s="699" t="n"/>
      <c r="T24" s="674" t="n"/>
      <c r="U24" s="674" t="n"/>
      <c r="V24" s="671" t="n"/>
      <c r="W24" s="671" t="n"/>
      <c r="X24" s="667" t="n"/>
      <c r="Y24" s="667" t="n"/>
      <c r="Z24" s="667" t="n"/>
      <c r="AA24" s="667" t="n"/>
      <c r="AB24" s="667" t="n"/>
      <c r="AC24" s="667" t="n"/>
      <c r="AD24" s="667" t="n"/>
      <c r="AE24" s="667" t="n"/>
      <c r="AF24" s="667" t="n"/>
      <c r="AG24" s="667" t="n"/>
      <c r="AH24" s="667" t="n"/>
      <c r="AI24" s="667" t="n"/>
      <c r="AJ24" s="667" t="n"/>
      <c r="AK24" s="667" t="n"/>
      <c r="AL24" s="667" t="n"/>
      <c r="AM24" s="667" t="n"/>
      <c r="AN24" s="672" t="n"/>
      <c r="AO24" s="672" t="n"/>
      <c r="AP24" s="672" t="n"/>
      <c r="AQ24" s="672" t="n"/>
      <c r="AR24" s="672" t="n"/>
    </row>
    <row r="25" ht="18" customHeight="1" thickBot="1">
      <c r="A25" s="667" t="n"/>
      <c r="B25" s="681" t="inlineStr">
        <is>
          <t>#</t>
        </is>
      </c>
      <c r="C25" s="707" t="inlineStr">
        <is>
          <t>Deliverables Milestone</t>
        </is>
      </c>
      <c r="D25" s="708" t="inlineStr">
        <is>
          <t>Start</t>
        </is>
      </c>
      <c r="E25" s="708" t="inlineStr">
        <is>
          <t>End</t>
        </is>
      </c>
      <c r="F25" s="681" t="inlineStr">
        <is>
          <t>Deliverables</t>
        </is>
      </c>
      <c r="G25" s="709" t="n"/>
      <c r="H25" s="709" t="n"/>
      <c r="I25" s="709" t="n"/>
      <c r="J25" s="709" t="n"/>
      <c r="K25" s="709" t="n"/>
      <c r="L25" s="709" t="n"/>
      <c r="M25" s="709" t="n"/>
      <c r="N25" s="709" t="n"/>
      <c r="O25" s="709" t="n"/>
      <c r="P25" s="709" t="n"/>
      <c r="Q25" s="709" t="n"/>
      <c r="R25" s="709" t="n"/>
      <c r="S25" s="709" t="n"/>
      <c r="T25" s="709" t="n"/>
      <c r="U25" s="710" t="n"/>
      <c r="V25" s="671" t="n"/>
      <c r="W25" s="671" t="n"/>
      <c r="X25" s="667" t="n"/>
      <c r="Y25" s="667" t="n"/>
      <c r="Z25" s="667" t="n"/>
      <c r="AA25" s="667" t="n"/>
      <c r="AB25" s="667" t="n"/>
      <c r="AC25" s="667" t="n"/>
      <c r="AD25" s="667" t="n"/>
      <c r="AE25" s="667" t="n"/>
      <c r="AF25" s="667" t="n"/>
      <c r="AG25" s="667" t="n"/>
      <c r="AH25" s="667" t="n"/>
      <c r="AI25" s="667" t="n"/>
      <c r="AJ25" s="667" t="n"/>
      <c r="AK25" s="667" t="n"/>
      <c r="AL25" s="667" t="n"/>
      <c r="AM25" s="667" t="n"/>
      <c r="AN25" s="672" t="n"/>
      <c r="AO25" s="672" t="n"/>
      <c r="AP25" s="672" t="n"/>
      <c r="AQ25" s="672" t="n"/>
      <c r="AR25" s="672" t="n"/>
    </row>
    <row r="26" ht="30" customHeight="1" thickBot="1">
      <c r="A26" s="667" t="n"/>
      <c r="B26" s="711" t="n">
        <v>1</v>
      </c>
      <c r="C26" s="684" t="inlineStr">
        <is>
          <t>Contract Signoff</t>
        </is>
      </c>
      <c r="D26" s="712" t="inlineStr">
        <is>
          <t>TBD</t>
        </is>
      </c>
      <c r="E26" s="712" t="inlineStr">
        <is>
          <t>TBD</t>
        </is>
      </c>
      <c r="F26" s="684" t="inlineStr">
        <is>
          <t>Signed contract</t>
        </is>
      </c>
      <c r="G26" s="709" t="n"/>
      <c r="H26" s="709" t="n"/>
      <c r="I26" s="709" t="n"/>
      <c r="J26" s="709" t="n"/>
      <c r="K26" s="709" t="n"/>
      <c r="L26" s="709" t="n"/>
      <c r="M26" s="709" t="n"/>
      <c r="N26" s="709" t="n"/>
      <c r="O26" s="709" t="n"/>
      <c r="P26" s="709" t="n"/>
      <c r="Q26" s="709" t="n"/>
      <c r="R26" s="709" t="n"/>
      <c r="S26" s="709" t="n"/>
      <c r="T26" s="709" t="n"/>
      <c r="U26" s="710" t="n"/>
      <c r="V26" s="671" t="n"/>
      <c r="W26" s="671" t="n"/>
      <c r="X26" s="667" t="n"/>
      <c r="Y26" s="667" t="n"/>
      <c r="Z26" s="667" t="n"/>
      <c r="AA26" s="667" t="n"/>
      <c r="AB26" s="667" t="n"/>
      <c r="AC26" s="667" t="n"/>
      <c r="AD26" s="667" t="n"/>
      <c r="AE26" s="667" t="n"/>
      <c r="AF26" s="667" t="n"/>
      <c r="AG26" s="667" t="n"/>
      <c r="AH26" s="667" t="n"/>
      <c r="AI26" s="667" t="n"/>
      <c r="AJ26" s="667" t="n"/>
      <c r="AK26" s="667" t="n"/>
      <c r="AL26" s="667" t="n"/>
      <c r="AM26" s="667" t="n"/>
      <c r="AN26" s="672" t="n"/>
      <c r="AO26" s="672" t="n"/>
      <c r="AP26" s="672" t="n"/>
      <c r="AQ26" s="672" t="n"/>
      <c r="AR26" s="672" t="n"/>
    </row>
    <row r="27" ht="30" customHeight="1" thickBot="1">
      <c r="A27" s="667" t="n"/>
      <c r="B27" s="711" t="n">
        <v>2</v>
      </c>
      <c r="C27" s="714" t="inlineStr">
        <is>
          <t>Requirement Confirmation/Signoff</t>
        </is>
      </c>
      <c r="D27" s="713" t="inlineStr">
        <is>
          <t>TBD</t>
        </is>
      </c>
      <c r="E27" s="713" t="inlineStr">
        <is>
          <t>TBD</t>
        </is>
      </c>
      <c r="F27" s="712" t="inlineStr">
        <is>
          <t>BRD</t>
        </is>
      </c>
      <c r="G27" s="709" t="n"/>
      <c r="H27" s="709" t="n"/>
      <c r="I27" s="709" t="n"/>
      <c r="J27" s="709" t="n"/>
      <c r="K27" s="709" t="n"/>
      <c r="L27" s="709" t="n"/>
      <c r="M27" s="709" t="n"/>
      <c r="N27" s="709" t="n"/>
      <c r="O27" s="709" t="n"/>
      <c r="P27" s="709" t="n"/>
      <c r="Q27" s="709" t="n"/>
      <c r="R27" s="709" t="n"/>
      <c r="S27" s="709" t="n"/>
      <c r="T27" s="709" t="n"/>
      <c r="U27" s="710" t="n"/>
      <c r="V27" s="672" t="n"/>
      <c r="W27" s="715" t="n"/>
      <c r="X27" s="667" t="n"/>
      <c r="Y27" s="667" t="n"/>
      <c r="Z27" s="667" t="n"/>
      <c r="AA27" s="667" t="n"/>
      <c r="AB27" s="667" t="n"/>
      <c r="AC27" s="667" t="n"/>
      <c r="AD27" s="667" t="n"/>
      <c r="AE27" s="667" t="n"/>
      <c r="AF27" s="667" t="n"/>
      <c r="AG27" s="667" t="n"/>
      <c r="AH27" s="667" t="n"/>
      <c r="AI27" s="667" t="n"/>
      <c r="AJ27" s="667" t="n"/>
      <c r="AK27" s="667" t="n"/>
      <c r="AL27" s="667" t="n"/>
      <c r="AM27" s="667" t="n"/>
      <c r="AN27" s="672" t="n"/>
      <c r="AO27" s="672" t="n"/>
      <c r="AP27" s="672" t="n"/>
      <c r="AQ27" s="672" t="n"/>
      <c r="AR27" s="672" t="n"/>
    </row>
    <row r="28" ht="30" customHeight="1" thickBot="1">
      <c r="A28" s="667" t="n"/>
      <c r="B28" s="683" t="n">
        <v>3</v>
      </c>
      <c r="C28" s="716" t="inlineStr">
        <is>
          <t>Development Completion and UAT Initiation</t>
        </is>
      </c>
      <c r="D28" s="717" t="inlineStr">
        <is>
          <t>TBD</t>
        </is>
      </c>
      <c r="E28" s="717" t="inlineStr">
        <is>
          <t>TBD</t>
        </is>
      </c>
      <c r="F28" s="716" t="inlineStr">
        <is>
          <t>System ready in UAT, Test Cases, Test Report</t>
        </is>
      </c>
      <c r="G28" s="709" t="n"/>
      <c r="H28" s="709" t="n"/>
      <c r="I28" s="709" t="n"/>
      <c r="J28" s="709" t="n"/>
      <c r="K28" s="709" t="n"/>
      <c r="L28" s="709" t="n"/>
      <c r="M28" s="709" t="n"/>
      <c r="N28" s="709" t="n"/>
      <c r="O28" s="709" t="n"/>
      <c r="P28" s="709" t="n"/>
      <c r="Q28" s="709" t="n"/>
      <c r="R28" s="709" t="n"/>
      <c r="S28" s="709" t="n"/>
      <c r="T28" s="709" t="n"/>
      <c r="U28" s="710" t="n"/>
      <c r="V28" s="671" t="n"/>
      <c r="W28" s="718" t="n"/>
      <c r="X28" s="671" t="n"/>
      <c r="Y28" s="671" t="n"/>
      <c r="Z28" s="671" t="n"/>
      <c r="AA28" s="671" t="n"/>
      <c r="AB28" s="671" t="n"/>
      <c r="AC28" s="672" t="n"/>
      <c r="AD28" s="672" t="n"/>
      <c r="AE28" s="672" t="n"/>
      <c r="AF28" s="672" t="n"/>
      <c r="AG28" s="672" t="n"/>
      <c r="AH28" s="672" t="n"/>
      <c r="AI28" s="672" t="n"/>
      <c r="AJ28" s="672" t="n"/>
      <c r="AK28" s="672" t="n"/>
      <c r="AL28" s="672" t="n"/>
      <c r="AM28" s="672" t="n"/>
      <c r="AN28" s="672" t="n"/>
      <c r="AO28" s="672" t="n"/>
      <c r="AP28" s="672" t="n"/>
      <c r="AQ28" s="672" t="n"/>
      <c r="AR28" s="672" t="n"/>
    </row>
    <row r="29" ht="30" customHeight="1">
      <c r="A29" s="667" t="n"/>
      <c r="B29" s="719" t="n">
        <v>4</v>
      </c>
      <c r="C29" s="720" t="inlineStr">
        <is>
          <t>Completion of UAT</t>
        </is>
      </c>
      <c r="D29" s="721" t="inlineStr">
        <is>
          <t>TBD</t>
        </is>
      </c>
      <c r="E29" s="721" t="inlineStr">
        <is>
          <t>TBD</t>
        </is>
      </c>
      <c r="F29" s="720" t="inlineStr">
        <is>
          <t>Source Code, User Guide, Technical Specification</t>
        </is>
      </c>
      <c r="G29" s="709" t="n"/>
      <c r="H29" s="709" t="n"/>
      <c r="I29" s="709" t="n"/>
      <c r="J29" s="709" t="n"/>
      <c r="K29" s="709" t="n"/>
      <c r="L29" s="709" t="n"/>
      <c r="M29" s="709" t="n"/>
      <c r="N29" s="709" t="n"/>
      <c r="O29" s="709" t="n"/>
      <c r="P29" s="709" t="n"/>
      <c r="Q29" s="709" t="n"/>
      <c r="R29" s="709" t="n"/>
      <c r="S29" s="709" t="n"/>
      <c r="T29" s="709" t="n"/>
      <c r="U29" s="710" t="n"/>
      <c r="V29" s="671" t="n"/>
      <c r="W29" s="671" t="n"/>
      <c r="X29" s="671" t="n"/>
      <c r="Y29" s="671" t="n"/>
      <c r="Z29" s="671" t="n"/>
      <c r="AA29" s="671" t="n"/>
      <c r="AB29" s="671" t="n"/>
      <c r="AC29" s="672" t="n"/>
      <c r="AD29" s="672" t="n"/>
      <c r="AE29" s="672" t="n"/>
      <c r="AF29" s="672" t="n"/>
      <c r="AG29" s="672" t="n"/>
      <c r="AH29" s="672" t="n"/>
      <c r="AI29" s="672" t="n"/>
      <c r="AJ29" s="672" t="n"/>
      <c r="AK29" s="672" t="n"/>
      <c r="AL29" s="672" t="n"/>
      <c r="AM29" s="672" t="n"/>
      <c r="AN29" s="672" t="n"/>
      <c r="AO29" s="672" t="n"/>
      <c r="AP29" s="672" t="n"/>
      <c r="AQ29" s="672" t="n"/>
      <c r="AR29" s="672" t="n"/>
    </row>
    <row r="30" ht="30" customHeight="1">
      <c r="A30" s="667" t="n"/>
      <c r="B30" s="719" t="n">
        <v>5</v>
      </c>
      <c r="C30" s="720" t="inlineStr">
        <is>
          <t>Completion of Post-Launch Support</t>
        </is>
      </c>
      <c r="D30" s="721" t="inlineStr">
        <is>
          <t>TBD</t>
        </is>
      </c>
      <c r="E30" s="721" t="inlineStr">
        <is>
          <t>TBD</t>
        </is>
      </c>
      <c r="F30" s="720" t="inlineStr">
        <is>
          <t>Maintenance log</t>
        </is>
      </c>
      <c r="G30" s="709" t="n"/>
      <c r="H30" s="709" t="n"/>
      <c r="I30" s="709" t="n"/>
      <c r="J30" s="709" t="n"/>
      <c r="K30" s="709" t="n"/>
      <c r="L30" s="709" t="n"/>
      <c r="M30" s="709" t="n"/>
      <c r="N30" s="709" t="n"/>
      <c r="O30" s="709" t="n"/>
      <c r="P30" s="709" t="n"/>
      <c r="Q30" s="709" t="n"/>
      <c r="R30" s="709" t="n"/>
      <c r="S30" s="709" t="n"/>
      <c r="T30" s="709" t="n"/>
      <c r="U30" s="710" t="n"/>
      <c r="V30" s="671" t="n"/>
      <c r="W30" s="671" t="n"/>
      <c r="X30" s="671" t="n"/>
      <c r="Y30" s="671" t="n"/>
      <c r="Z30" s="671" t="n"/>
      <c r="AA30" s="671" t="n"/>
      <c r="AB30" s="671" t="n"/>
      <c r="AC30" s="672" t="n"/>
      <c r="AD30" s="672" t="n"/>
      <c r="AE30" s="672" t="n"/>
      <c r="AF30" s="672" t="n"/>
      <c r="AG30" s="672" t="n"/>
      <c r="AH30" s="672" t="n"/>
      <c r="AI30" s="672" t="n"/>
      <c r="AJ30" s="672" t="n"/>
      <c r="AK30" s="672" t="n"/>
      <c r="AL30" s="672" t="n"/>
      <c r="AM30" s="672" t="n"/>
      <c r="AN30" s="672" t="n"/>
      <c r="AO30" s="672" t="n"/>
      <c r="AP30" s="672" t="n"/>
      <c r="AQ30" s="672" t="n"/>
      <c r="AR30" s="672" t="n"/>
    </row>
    <row r="31" ht="34.9" customHeight="1">
      <c r="A31" s="667" t="n"/>
      <c r="B31" s="722" t="n"/>
      <c r="C31" s="723" t="n"/>
      <c r="D31" s="724" t="n"/>
      <c r="E31" s="724" t="n"/>
      <c r="F31" s="705" t="n"/>
      <c r="G31" s="672" t="n"/>
      <c r="H31" s="672" t="n"/>
      <c r="I31" s="672" t="n"/>
      <c r="J31" s="672" t="n"/>
      <c r="K31" s="672" t="n"/>
      <c r="L31" s="672" t="n"/>
      <c r="M31" s="672" t="n"/>
      <c r="N31" s="672" t="n"/>
      <c r="O31" s="672" t="n"/>
      <c r="P31" s="672" t="n"/>
      <c r="Q31" s="672" t="n"/>
      <c r="R31" s="672" t="n"/>
      <c r="S31" s="672" t="n"/>
      <c r="T31" s="672" t="n"/>
      <c r="U31" s="672" t="n"/>
      <c r="V31" s="671" t="n"/>
      <c r="W31" s="671" t="n"/>
      <c r="X31" s="671" t="n"/>
      <c r="Y31" s="671" t="n"/>
      <c r="Z31" s="671" t="n"/>
      <c r="AA31" s="671" t="n"/>
      <c r="AB31" s="671" t="n"/>
      <c r="AC31" s="672" t="n"/>
      <c r="AD31" s="672" t="n"/>
      <c r="AE31" s="672" t="n"/>
      <c r="AF31" s="672" t="n"/>
      <c r="AG31" s="672" t="n"/>
      <c r="AH31" s="672" t="n"/>
      <c r="AI31" s="672" t="n"/>
      <c r="AJ31" s="672" t="n"/>
      <c r="AK31" s="672" t="n"/>
      <c r="AL31" s="672" t="n"/>
      <c r="AM31" s="672" t="n"/>
      <c r="AN31" s="672" t="n"/>
      <c r="AO31" s="672" t="n"/>
      <c r="AP31" s="672" t="n"/>
      <c r="AQ31" s="672" t="n"/>
      <c r="AR31" s="672" t="n"/>
    </row>
    <row r="32" ht="18.6" customHeight="1">
      <c r="A32" s="667" t="n"/>
      <c r="B32" s="722" t="n"/>
      <c r="C32" s="723" t="n"/>
      <c r="D32" s="724" t="n"/>
      <c r="E32" s="724" t="n"/>
      <c r="F32" s="705" t="n"/>
      <c r="G32" s="672" t="n"/>
      <c r="H32" s="672" t="n"/>
      <c r="I32" s="672" t="n"/>
      <c r="J32" s="672" t="n"/>
      <c r="K32" s="672" t="n"/>
      <c r="L32" s="672" t="n"/>
      <c r="M32" s="672" t="n"/>
      <c r="N32" s="672" t="n"/>
      <c r="O32" s="672" t="n"/>
      <c r="P32" s="672" t="n"/>
      <c r="Q32" s="672" t="n"/>
      <c r="R32" s="672" t="n"/>
      <c r="S32" s="672" t="n"/>
      <c r="T32" s="672" t="n"/>
      <c r="U32" s="672" t="n"/>
      <c r="V32" s="671" t="n"/>
      <c r="W32" s="671" t="n"/>
      <c r="X32" s="671" t="n"/>
      <c r="Y32" s="671" t="n"/>
      <c r="Z32" s="671" t="n"/>
      <c r="AA32" s="671" t="n"/>
      <c r="AB32" s="671" t="n"/>
      <c r="AC32" s="672" t="n"/>
      <c r="AD32" s="672" t="n"/>
      <c r="AE32" s="672" t="n"/>
      <c r="AF32" s="672" t="n"/>
      <c r="AG32" s="672" t="n"/>
      <c r="AH32" s="672" t="n"/>
      <c r="AI32" s="672" t="n"/>
      <c r="AJ32" s="672" t="n"/>
      <c r="AK32" s="672" t="n"/>
      <c r="AL32" s="672" t="n"/>
      <c r="AM32" s="672" t="n"/>
      <c r="AN32" s="672" t="n"/>
      <c r="AO32" s="672" t="n"/>
      <c r="AP32" s="672" t="n"/>
      <c r="AQ32" s="672" t="n"/>
      <c r="AR32" s="672" t="n"/>
    </row>
    <row r="33" ht="35.45" customHeight="1" thickBot="1">
      <c r="A33" s="667" t="n"/>
      <c r="B33" s="722" t="n"/>
      <c r="C33" s="723" t="n"/>
      <c r="D33" s="724" t="n"/>
      <c r="E33" s="724" t="n"/>
      <c r="F33" s="705" t="n"/>
      <c r="G33" s="672" t="n"/>
      <c r="H33" s="672" t="n"/>
      <c r="I33" s="672" t="n"/>
      <c r="J33" s="672" t="n"/>
      <c r="K33" s="672" t="n"/>
      <c r="L33" s="672" t="n"/>
      <c r="M33" s="672" t="n"/>
      <c r="N33" s="672" t="n"/>
      <c r="O33" s="672" t="n"/>
      <c r="P33" s="672" t="n"/>
      <c r="Q33" s="672" t="n"/>
      <c r="R33" s="672" t="n"/>
      <c r="S33" s="672" t="n"/>
      <c r="T33" s="672" t="n"/>
      <c r="U33" s="672" t="n"/>
      <c r="V33" s="671" t="n"/>
      <c r="W33" s="671" t="n"/>
      <c r="X33" s="671" t="n"/>
      <c r="Y33" s="671" t="n"/>
      <c r="Z33" s="671" t="n"/>
      <c r="AA33" s="671" t="n"/>
      <c r="AB33" s="671" t="n"/>
      <c r="AC33" s="672" t="n"/>
      <c r="AD33" s="672" t="n"/>
      <c r="AE33" s="672" t="n"/>
      <c r="AF33" s="672" t="n"/>
      <c r="AG33" s="672" t="n"/>
      <c r="AH33" s="672" t="n"/>
      <c r="AI33" s="672" t="n"/>
      <c r="AJ33" s="672" t="n"/>
      <c r="AK33" s="672" t="n"/>
      <c r="AL33" s="672" t="n"/>
      <c r="AM33" s="672" t="n"/>
      <c r="AN33" s="672" t="n"/>
      <c r="AO33" s="672" t="n"/>
      <c r="AP33" s="672" t="n"/>
      <c r="AQ33" s="672" t="n"/>
      <c r="AR33" s="672" t="n"/>
    </row>
    <row r="34">
      <c r="A34" s="667" t="n"/>
      <c r="B34" s="667" t="n"/>
      <c r="C34" s="667" t="n"/>
      <c r="D34" s="667" t="n"/>
      <c r="E34" s="667" t="n"/>
      <c r="F34" s="667" t="n"/>
      <c r="G34" s="667" t="n"/>
      <c r="H34" s="667" t="n"/>
      <c r="I34" s="667" t="n"/>
      <c r="J34" s="667" t="n"/>
      <c r="K34" s="667" t="n"/>
      <c r="L34" s="667" t="n"/>
      <c r="M34" s="667" t="n"/>
      <c r="N34" s="667" t="n"/>
      <c r="O34" s="667" t="n"/>
      <c r="P34" s="667" t="n"/>
      <c r="Q34" s="667" t="n"/>
      <c r="R34" s="671" t="n"/>
      <c r="S34" s="671" t="n"/>
      <c r="T34" s="671" t="n"/>
      <c r="U34" s="671" t="n"/>
      <c r="V34" s="671" t="n"/>
      <c r="W34" s="671" t="n"/>
      <c r="X34" s="671" t="n"/>
      <c r="Y34" s="671" t="n"/>
      <c r="Z34" s="671" t="n"/>
      <c r="AA34" s="671" t="n"/>
      <c r="AB34" s="671" t="n"/>
      <c r="AC34" s="672" t="n"/>
      <c r="AD34" s="672" t="n"/>
      <c r="AE34" s="672" t="n"/>
      <c r="AF34" s="672" t="n"/>
      <c r="AG34" s="672" t="n"/>
      <c r="AH34" s="672" t="n"/>
      <c r="AI34" s="672" t="n"/>
      <c r="AJ34" s="672" t="n"/>
      <c r="AK34" s="672" t="n"/>
      <c r="AL34" s="672" t="n"/>
      <c r="AM34" s="672" t="n"/>
      <c r="AN34" s="672" t="n"/>
      <c r="AO34" s="672" t="n"/>
      <c r="AP34" s="672" t="n"/>
      <c r="AQ34" s="672" t="n"/>
      <c r="AR34" s="672" t="n"/>
    </row>
    <row r="35">
      <c r="A35" s="671" t="n"/>
      <c r="B35" s="667" t="n"/>
      <c r="C35" s="667" t="n"/>
      <c r="D35" s="667" t="n"/>
      <c r="E35" s="667" t="n"/>
      <c r="F35" s="667" t="n"/>
      <c r="G35" s="667" t="n"/>
      <c r="H35" s="667" t="n"/>
      <c r="I35" s="667" t="n"/>
      <c r="J35" s="667" t="n"/>
      <c r="K35" s="667" t="n"/>
      <c r="L35" s="667" t="n"/>
      <c r="M35" s="667" t="n"/>
      <c r="N35" s="667" t="n"/>
      <c r="O35" s="667" t="n"/>
      <c r="P35" s="667" t="n"/>
      <c r="Q35" s="667" t="n"/>
      <c r="R35" s="671" t="n"/>
      <c r="S35" s="671" t="n"/>
      <c r="T35" s="671" t="n"/>
      <c r="U35" s="671" t="n"/>
      <c r="V35" s="671" t="n"/>
      <c r="W35" s="671" t="n"/>
      <c r="X35" s="671" t="n"/>
      <c r="Y35" s="671" t="n"/>
      <c r="Z35" s="671" t="n"/>
      <c r="AA35" s="671" t="n"/>
      <c r="AB35" s="671" t="n"/>
      <c r="AC35" s="671" t="n"/>
      <c r="AD35" s="671" t="n"/>
      <c r="AE35" s="671" t="n"/>
      <c r="AF35" s="671" t="n"/>
      <c r="AG35" s="671" t="n"/>
      <c r="AH35" s="672" t="n"/>
      <c r="AI35" s="672" t="n"/>
      <c r="AJ35" s="672" t="n"/>
      <c r="AK35" s="672" t="n"/>
      <c r="AL35" s="672" t="n"/>
      <c r="AM35" s="672" t="n"/>
      <c r="AN35" s="672" t="n"/>
      <c r="AO35" s="672" t="n"/>
      <c r="AP35" s="672" t="n"/>
      <c r="AQ35" s="672" t="n"/>
      <c r="AR35" s="672" t="n"/>
    </row>
    <row r="36">
      <c r="A36" s="671" t="n"/>
      <c r="B36" s="667" t="n"/>
      <c r="C36" s="667" t="n"/>
      <c r="D36" s="667" t="n"/>
      <c r="E36" s="667" t="n"/>
      <c r="F36" s="667" t="n"/>
      <c r="G36" s="667" t="n"/>
      <c r="H36" s="667" t="n"/>
      <c r="I36" s="667" t="n"/>
      <c r="J36" s="667" t="n"/>
      <c r="K36" s="667" t="n"/>
      <c r="L36" s="667" t="n"/>
      <c r="M36" s="667" t="n"/>
      <c r="N36" s="667" t="n"/>
      <c r="O36" s="667" t="n"/>
      <c r="P36" s="667" t="n"/>
      <c r="Q36" s="667" t="n"/>
      <c r="R36" s="671" t="n"/>
      <c r="S36" s="671" t="n"/>
      <c r="T36" s="671" t="n"/>
      <c r="U36" s="671" t="n"/>
      <c r="V36" s="671" t="n"/>
      <c r="W36" s="671" t="n"/>
      <c r="X36" s="671" t="n"/>
      <c r="Y36" s="671" t="n"/>
      <c r="Z36" s="671" t="n"/>
      <c r="AA36" s="671" t="n"/>
      <c r="AB36" s="671" t="n"/>
      <c r="AC36" s="672" t="n"/>
      <c r="AD36" s="672" t="n"/>
      <c r="AE36" s="672" t="n"/>
      <c r="AF36" s="672" t="n"/>
      <c r="AG36" s="671" t="n"/>
      <c r="AH36" s="672" t="n"/>
      <c r="AI36" s="672" t="n"/>
      <c r="AJ36" s="672" t="n"/>
      <c r="AK36" s="672" t="n"/>
      <c r="AL36" s="672" t="n"/>
      <c r="AM36" s="672" t="n"/>
      <c r="AN36" s="672" t="n"/>
      <c r="AO36" s="672" t="n"/>
      <c r="AP36" s="672" t="n"/>
      <c r="AQ36" s="672" t="n"/>
      <c r="AR36" s="672" t="n"/>
    </row>
    <row r="37">
      <c r="A37" s="671" t="n"/>
      <c r="B37" s="671" t="n"/>
      <c r="C37" s="671" t="n"/>
      <c r="D37" s="671" t="n"/>
      <c r="E37" s="671" t="n"/>
      <c r="F37" s="671" t="n"/>
      <c r="G37" s="671" t="n"/>
      <c r="H37" s="671" t="n"/>
      <c r="I37" s="671" t="n"/>
      <c r="J37" s="671" t="n"/>
      <c r="K37" s="671" t="n"/>
      <c r="L37" s="671" t="n"/>
      <c r="M37" s="671" t="n"/>
      <c r="N37" s="671" t="n"/>
      <c r="O37" s="671" t="n"/>
      <c r="P37" s="671" t="n"/>
      <c r="Q37" s="671" t="n"/>
      <c r="R37" s="671" t="n"/>
      <c r="S37" s="671" t="n"/>
      <c r="T37" s="671" t="n"/>
      <c r="U37" s="671" t="n"/>
      <c r="V37" s="671" t="n"/>
      <c r="W37" s="671" t="n"/>
      <c r="X37" s="671" t="n"/>
      <c r="Y37" s="671" t="n"/>
      <c r="Z37" s="671" t="n"/>
      <c r="AA37" s="671" t="n"/>
      <c r="AB37" s="671" t="n"/>
      <c r="AC37" s="672" t="n"/>
      <c r="AD37" s="672" t="n"/>
      <c r="AE37" s="672" t="n"/>
      <c r="AF37" s="672" t="n"/>
      <c r="AG37" s="671" t="n"/>
      <c r="AH37" s="672" t="n"/>
      <c r="AI37" s="672" t="n"/>
      <c r="AJ37" s="672" t="n"/>
      <c r="AK37" s="672" t="n"/>
      <c r="AL37" s="672" t="n"/>
      <c r="AM37" s="672" t="n"/>
      <c r="AN37" s="672" t="n"/>
      <c r="AO37" s="672" t="n"/>
      <c r="AP37" s="672" t="n"/>
      <c r="AQ37" s="672" t="n"/>
      <c r="AR37" s="672" t="n"/>
    </row>
    <row r="38">
      <c r="A38" s="671" t="n"/>
      <c r="B38" s="671" t="n"/>
      <c r="C38" s="671" t="n"/>
      <c r="D38" s="671" t="n"/>
      <c r="E38" s="671" t="n"/>
      <c r="F38" s="671" t="n"/>
      <c r="G38" s="671" t="n"/>
      <c r="H38" s="671" t="n"/>
      <c r="I38" s="671" t="n"/>
      <c r="J38" s="671" t="n"/>
      <c r="K38" s="671" t="n"/>
      <c r="L38" s="671" t="n"/>
      <c r="M38" s="671" t="n"/>
      <c r="N38" s="671" t="n"/>
      <c r="O38" s="671" t="n"/>
      <c r="P38" s="671" t="n"/>
      <c r="Q38" s="671" t="n"/>
      <c r="R38" s="671" t="n"/>
      <c r="S38" s="671" t="n"/>
      <c r="T38" s="671" t="n"/>
      <c r="U38" s="671" t="n"/>
      <c r="V38" s="671" t="n"/>
      <c r="W38" s="671" t="n"/>
      <c r="X38" s="671" t="n"/>
      <c r="Y38" s="671" t="n"/>
      <c r="Z38" s="671" t="n"/>
      <c r="AA38" s="671" t="n"/>
      <c r="AB38" s="671" t="n"/>
      <c r="AC38" s="672" t="n"/>
      <c r="AD38" s="672" t="n"/>
      <c r="AE38" s="672" t="n"/>
      <c r="AF38" s="672" t="n"/>
      <c r="AG38" s="671" t="n"/>
      <c r="AH38" s="672" t="n"/>
      <c r="AI38" s="672" t="n"/>
      <c r="AJ38" s="672" t="n"/>
      <c r="AK38" s="672" t="n"/>
      <c r="AL38" s="672" t="n"/>
      <c r="AM38" s="672" t="n"/>
      <c r="AN38" s="672" t="n"/>
      <c r="AO38" s="672" t="n"/>
      <c r="AP38" s="672" t="n"/>
      <c r="AQ38" s="672" t="n"/>
      <c r="AR38" s="672" t="n"/>
    </row>
    <row r="39">
      <c r="A39" s="671" t="n"/>
      <c r="B39" s="671" t="n"/>
      <c r="C39" s="671" t="n"/>
      <c r="D39" s="671" t="n"/>
      <c r="E39" s="671" t="n"/>
      <c r="F39" s="671" t="n"/>
      <c r="G39" s="671" t="n"/>
      <c r="H39" s="671" t="n"/>
      <c r="I39" s="671" t="n"/>
      <c r="J39" s="671" t="n"/>
      <c r="K39" s="671" t="n"/>
      <c r="L39" s="671" t="n"/>
      <c r="M39" s="671" t="n"/>
      <c r="N39" s="671" t="n"/>
      <c r="O39" s="671" t="n"/>
      <c r="P39" s="671" t="n"/>
      <c r="Q39" s="671" t="n"/>
      <c r="R39" s="671" t="n"/>
      <c r="S39" s="671" t="n"/>
      <c r="T39" s="671" t="n"/>
      <c r="U39" s="671" t="n"/>
      <c r="V39" s="671" t="n"/>
      <c r="W39" s="671" t="n"/>
      <c r="X39" s="671" t="n"/>
      <c r="Y39" s="671" t="n"/>
      <c r="Z39" s="671" t="n"/>
      <c r="AA39" s="671" t="n"/>
      <c r="AB39" s="671" t="n"/>
      <c r="AC39" s="672" t="n"/>
      <c r="AD39" s="672" t="n"/>
      <c r="AE39" s="672" t="n"/>
      <c r="AF39" s="672" t="n"/>
      <c r="AG39" s="671" t="n"/>
      <c r="AH39" s="672" t="n"/>
      <c r="AI39" s="672" t="n"/>
      <c r="AJ39" s="672" t="n"/>
      <c r="AK39" s="672" t="n"/>
      <c r="AL39" s="672" t="n"/>
      <c r="AM39" s="672" t="n"/>
      <c r="AN39" s="672" t="n"/>
      <c r="AO39" s="672" t="n"/>
      <c r="AP39" s="672" t="n"/>
      <c r="AQ39" s="672" t="n"/>
      <c r="AR39" s="672" t="n"/>
    </row>
    <row r="40">
      <c r="A40" s="671" t="n"/>
      <c r="B40" s="671" t="n"/>
      <c r="C40" s="671" t="n"/>
      <c r="D40" s="671" t="n"/>
      <c r="E40" s="671" t="n"/>
      <c r="F40" s="671" t="n"/>
      <c r="G40" s="671" t="n"/>
      <c r="H40" s="671" t="n"/>
      <c r="I40" s="671" t="n"/>
      <c r="J40" s="671" t="n"/>
      <c r="K40" s="671" t="n"/>
      <c r="L40" s="671" t="n"/>
      <c r="M40" s="671" t="n"/>
      <c r="N40" s="671" t="n"/>
      <c r="O40" s="671" t="n"/>
      <c r="P40" s="671" t="n"/>
      <c r="Q40" s="671" t="n"/>
      <c r="R40" s="671" t="n"/>
      <c r="S40" s="671" t="n"/>
      <c r="T40" s="671" t="n"/>
      <c r="U40" s="671" t="n"/>
      <c r="V40" s="671" t="n"/>
      <c r="W40" s="671" t="n"/>
      <c r="X40" s="671" t="n"/>
      <c r="Y40" s="671" t="n"/>
      <c r="Z40" s="671" t="n"/>
      <c r="AA40" s="671" t="n"/>
      <c r="AB40" s="671" t="n"/>
      <c r="AC40" s="672" t="n"/>
      <c r="AD40" s="672" t="n"/>
      <c r="AE40" s="672" t="n"/>
      <c r="AF40" s="672" t="n"/>
      <c r="AG40" s="671" t="n"/>
      <c r="AH40" s="672" t="n"/>
      <c r="AI40" s="672" t="n"/>
      <c r="AJ40" s="672" t="n"/>
      <c r="AK40" s="672" t="n"/>
      <c r="AL40" s="672" t="n"/>
      <c r="AM40" s="672" t="n"/>
      <c r="AN40" s="672" t="n"/>
      <c r="AO40" s="672" t="n"/>
      <c r="AP40" s="672" t="n"/>
      <c r="AQ40" s="672" t="n"/>
      <c r="AR40" s="672" t="n"/>
    </row>
    <row r="41">
      <c r="A41" s="671" t="n"/>
      <c r="B41" s="671" t="n"/>
      <c r="C41" s="671" t="n"/>
      <c r="D41" s="671" t="n"/>
      <c r="E41" s="671" t="n"/>
      <c r="F41" s="671" t="n"/>
      <c r="G41" s="671" t="n"/>
      <c r="H41" s="671" t="n"/>
      <c r="I41" s="671" t="n"/>
      <c r="J41" s="671" t="n"/>
      <c r="K41" s="671" t="n"/>
      <c r="L41" s="671" t="n"/>
      <c r="M41" s="671" t="n"/>
      <c r="N41" s="671" t="n"/>
      <c r="O41" s="671" t="n"/>
      <c r="P41" s="671" t="n"/>
      <c r="Q41" s="671" t="n"/>
      <c r="R41" s="671" t="n"/>
      <c r="S41" s="671" t="n"/>
      <c r="T41" s="671" t="n"/>
      <c r="U41" s="671" t="n"/>
      <c r="V41" s="671" t="n"/>
      <c r="W41" s="671" t="n"/>
      <c r="X41" s="671" t="n"/>
      <c r="Y41" s="671" t="n"/>
      <c r="Z41" s="671" t="n"/>
      <c r="AA41" s="671" t="n"/>
      <c r="AB41" s="671" t="n"/>
      <c r="AC41" s="672" t="n"/>
      <c r="AD41" s="672" t="n"/>
      <c r="AE41" s="672" t="n"/>
      <c r="AF41" s="672" t="n"/>
      <c r="AG41" s="671" t="n"/>
      <c r="AH41" s="672" t="n"/>
      <c r="AI41" s="672" t="n"/>
      <c r="AJ41" s="672" t="n"/>
      <c r="AK41" s="672" t="n"/>
      <c r="AL41" s="672" t="n"/>
      <c r="AM41" s="672" t="n"/>
      <c r="AN41" s="672" t="n"/>
      <c r="AO41" s="672" t="n"/>
      <c r="AP41" s="672" t="n"/>
      <c r="AQ41" s="672" t="n"/>
      <c r="AR41" s="672" t="n"/>
    </row>
    <row r="42">
      <c r="A42" s="671" t="n"/>
      <c r="B42" s="671" t="n"/>
      <c r="C42" s="671" t="n"/>
      <c r="D42" s="671" t="n"/>
      <c r="E42" s="671" t="n"/>
      <c r="F42" s="671" t="n"/>
      <c r="G42" s="671" t="n"/>
      <c r="H42" s="671" t="n"/>
      <c r="I42" s="671" t="n"/>
      <c r="J42" s="671" t="n"/>
      <c r="K42" s="671" t="n"/>
      <c r="L42" s="671" t="n"/>
      <c r="M42" s="671" t="n"/>
      <c r="N42" s="671" t="n"/>
      <c r="O42" s="671" t="n"/>
      <c r="P42" s="671" t="n"/>
      <c r="Q42" s="671" t="n"/>
      <c r="R42" s="671" t="n"/>
      <c r="S42" s="671" t="n"/>
      <c r="T42" s="671" t="n"/>
      <c r="U42" s="671" t="n"/>
      <c r="V42" s="671" t="n"/>
      <c r="W42" s="671" t="n"/>
      <c r="X42" s="671" t="n"/>
      <c r="Y42" s="671" t="n"/>
      <c r="Z42" s="671" t="n"/>
      <c r="AA42" s="671" t="n"/>
      <c r="AB42" s="671" t="n"/>
      <c r="AC42" s="672" t="n"/>
      <c r="AD42" s="672" t="n"/>
      <c r="AE42" s="672" t="n"/>
      <c r="AF42" s="672" t="n"/>
      <c r="AG42" s="671" t="n"/>
      <c r="AH42" s="672" t="n"/>
      <c r="AI42" s="672" t="n"/>
      <c r="AJ42" s="672" t="n"/>
      <c r="AK42" s="672" t="n"/>
      <c r="AL42" s="672" t="n"/>
      <c r="AM42" s="672" t="n"/>
      <c r="AN42" s="672" t="n"/>
      <c r="AO42" s="672" t="n"/>
      <c r="AP42" s="672" t="n"/>
      <c r="AQ42" s="672" t="n"/>
      <c r="AR42" s="672" t="n"/>
    </row>
    <row r="43">
      <c r="A43" s="671" t="n"/>
      <c r="B43" s="671" t="n"/>
      <c r="C43" s="671" t="n"/>
      <c r="D43" s="671" t="n"/>
      <c r="E43" s="671" t="n"/>
      <c r="F43" s="671" t="n"/>
      <c r="G43" s="671" t="n"/>
      <c r="H43" s="671" t="n"/>
      <c r="I43" s="671" t="n"/>
      <c r="J43" s="671" t="n"/>
      <c r="K43" s="671" t="n"/>
      <c r="L43" s="671" t="n"/>
      <c r="M43" s="671" t="n"/>
      <c r="N43" s="671" t="n"/>
      <c r="O43" s="671" t="n"/>
      <c r="P43" s="671" t="n"/>
      <c r="Q43" s="671" t="n"/>
      <c r="R43" s="671" t="n"/>
      <c r="S43" s="671" t="n"/>
      <c r="T43" s="671" t="n"/>
      <c r="U43" s="671" t="n"/>
      <c r="V43" s="671" t="n"/>
      <c r="W43" s="671" t="n"/>
      <c r="X43" s="671" t="n"/>
      <c r="Y43" s="671" t="n"/>
      <c r="Z43" s="671" t="n"/>
      <c r="AA43" s="671" t="n"/>
      <c r="AB43" s="671" t="n"/>
      <c r="AC43" s="672" t="n"/>
      <c r="AD43" s="672" t="n"/>
      <c r="AE43" s="672" t="n"/>
      <c r="AF43" s="672" t="n"/>
      <c r="AG43" s="671" t="n"/>
      <c r="AH43" s="672" t="n"/>
      <c r="AI43" s="672" t="n"/>
      <c r="AJ43" s="672" t="n"/>
      <c r="AK43" s="672" t="n"/>
      <c r="AL43" s="672" t="n"/>
      <c r="AM43" s="672" t="n"/>
      <c r="AN43" s="672" t="n"/>
      <c r="AO43" s="672" t="n"/>
      <c r="AP43" s="672" t="n"/>
      <c r="AQ43" s="672" t="n"/>
      <c r="AR43" s="672" t="n"/>
    </row>
    <row r="44">
      <c r="A44" s="671" t="n"/>
      <c r="B44" s="671" t="n"/>
      <c r="C44" s="671" t="n"/>
      <c r="D44" s="671" t="n"/>
      <c r="E44" s="671" t="n"/>
      <c r="F44" s="671" t="n"/>
      <c r="G44" s="671" t="n"/>
      <c r="H44" s="671" t="n"/>
      <c r="I44" s="671" t="n"/>
      <c r="J44" s="671" t="n"/>
      <c r="K44" s="671" t="n"/>
      <c r="L44" s="671" t="n"/>
      <c r="M44" s="671" t="n"/>
      <c r="N44" s="671" t="n"/>
      <c r="O44" s="671" t="n"/>
      <c r="P44" s="671" t="n"/>
      <c r="Q44" s="671" t="n"/>
      <c r="R44" s="671" t="n"/>
      <c r="S44" s="671" t="n"/>
      <c r="T44" s="671" t="n"/>
      <c r="U44" s="671" t="n"/>
      <c r="V44" s="671" t="n"/>
      <c r="W44" s="671" t="n"/>
      <c r="X44" s="671" t="n"/>
      <c r="Y44" s="671" t="n"/>
      <c r="Z44" s="671" t="n"/>
      <c r="AA44" s="671" t="n"/>
      <c r="AB44" s="671" t="n"/>
      <c r="AC44" s="671" t="n"/>
      <c r="AD44" s="671" t="n"/>
      <c r="AE44" s="671" t="n"/>
      <c r="AF44" s="671" t="n"/>
      <c r="AG44" s="671" t="n"/>
      <c r="AH44" s="672" t="n"/>
      <c r="AI44" s="672" t="n"/>
      <c r="AJ44" s="672" t="n"/>
      <c r="AK44" s="672" t="n"/>
      <c r="AL44" s="672" t="n"/>
      <c r="AM44" s="672" t="n"/>
      <c r="AN44" s="672" t="n"/>
      <c r="AO44" s="672" t="n"/>
      <c r="AP44" s="672" t="n"/>
      <c r="AQ44" s="672" t="n"/>
      <c r="AR44" s="672" t="n"/>
    </row>
    <row r="45">
      <c r="A45" s="671" t="n"/>
      <c r="B45" s="671" t="n"/>
      <c r="C45" s="671" t="n"/>
      <c r="D45" s="671" t="n"/>
      <c r="E45" s="671" t="n"/>
      <c r="F45" s="671" t="n"/>
      <c r="G45" s="671" t="n"/>
      <c r="H45" s="671" t="n"/>
      <c r="I45" s="671" t="n"/>
      <c r="J45" s="671" t="n"/>
      <c r="K45" s="671" t="n"/>
      <c r="L45" s="671" t="n"/>
      <c r="M45" s="671" t="n"/>
      <c r="N45" s="671" t="n"/>
      <c r="O45" s="671" t="n"/>
      <c r="P45" s="671" t="n"/>
      <c r="Q45" s="671" t="n"/>
      <c r="R45" s="671" t="n"/>
      <c r="S45" s="671" t="n"/>
      <c r="T45" s="671" t="n"/>
      <c r="U45" s="671" t="n"/>
      <c r="V45" s="671" t="n"/>
      <c r="W45" s="671" t="n"/>
      <c r="X45" s="671" t="n"/>
      <c r="Y45" s="671" t="n"/>
      <c r="Z45" s="671" t="n"/>
      <c r="AA45" s="671" t="n"/>
      <c r="AB45" s="671" t="n"/>
      <c r="AC45" s="672" t="n"/>
      <c r="AD45" s="672" t="n"/>
      <c r="AE45" s="672" t="n"/>
      <c r="AF45" s="672" t="n"/>
      <c r="AG45" s="672" t="n"/>
      <c r="AH45" s="672" t="n"/>
      <c r="AI45" s="672" t="n"/>
      <c r="AJ45" s="672" t="n"/>
      <c r="AK45" s="672" t="n"/>
      <c r="AL45" s="672" t="n"/>
      <c r="AM45" s="672" t="n"/>
      <c r="AN45" s="672" t="n"/>
      <c r="AO45" s="672" t="n"/>
      <c r="AP45" s="672" t="n"/>
      <c r="AQ45" s="672" t="n"/>
      <c r="AR45" s="672" t="n"/>
    </row>
    <row r="46">
      <c r="A46" s="671" t="n"/>
      <c r="B46" s="671" t="n"/>
      <c r="C46" s="671" t="n"/>
      <c r="D46" s="671" t="n"/>
      <c r="E46" s="671" t="n"/>
      <c r="F46" s="671" t="n"/>
      <c r="G46" s="671" t="n"/>
      <c r="H46" s="671" t="n"/>
      <c r="I46" s="671" t="n"/>
      <c r="J46" s="671" t="n"/>
      <c r="K46" s="671" t="n"/>
      <c r="L46" s="671" t="n"/>
      <c r="M46" s="671" t="n"/>
      <c r="N46" s="671" t="n"/>
      <c r="O46" s="671" t="n"/>
      <c r="P46" s="671" t="n"/>
      <c r="Q46" s="671" t="n"/>
      <c r="R46" s="671" t="n"/>
      <c r="S46" s="671" t="n"/>
      <c r="T46" s="671" t="n"/>
      <c r="U46" s="671" t="n"/>
      <c r="V46" s="671" t="n"/>
      <c r="W46" s="671" t="n"/>
      <c r="X46" s="671" t="n"/>
      <c r="Y46" s="671" t="n"/>
      <c r="Z46" s="671" t="n"/>
      <c r="AA46" s="671" t="n"/>
      <c r="AB46" s="671" t="n"/>
      <c r="AC46" s="672" t="n"/>
      <c r="AD46" s="672" t="n"/>
      <c r="AE46" s="672" t="n"/>
      <c r="AF46" s="672" t="n"/>
      <c r="AG46" s="672" t="n"/>
      <c r="AH46" s="672" t="n"/>
      <c r="AI46" s="672" t="n"/>
      <c r="AJ46" s="672" t="n"/>
      <c r="AK46" s="672" t="n"/>
      <c r="AL46" s="672" t="n"/>
      <c r="AM46" s="672" t="n"/>
      <c r="AN46" s="672" t="n"/>
      <c r="AO46" s="672" t="n"/>
      <c r="AP46" s="672" t="n"/>
      <c r="AQ46" s="672" t="n"/>
      <c r="AR46" s="672" t="n"/>
    </row>
    <row r="47">
      <c r="A47" s="671" t="n"/>
      <c r="B47" s="671" t="n"/>
      <c r="C47" s="671" t="n"/>
      <c r="D47" s="671" t="n"/>
      <c r="E47" s="671" t="n"/>
      <c r="F47" s="671" t="n"/>
      <c r="G47" s="671" t="n"/>
      <c r="H47" s="671" t="n"/>
      <c r="I47" s="671" t="n"/>
      <c r="J47" s="671" t="n"/>
      <c r="K47" s="671" t="n"/>
      <c r="L47" s="671" t="n"/>
      <c r="M47" s="671" t="n"/>
      <c r="N47" s="671" t="n"/>
      <c r="O47" s="671" t="n"/>
      <c r="P47" s="671" t="n"/>
      <c r="Q47" s="671" t="n"/>
      <c r="R47" s="671" t="n"/>
      <c r="S47" s="671" t="n"/>
      <c r="T47" s="671" t="n"/>
      <c r="U47" s="671" t="n"/>
      <c r="V47" s="671" t="n"/>
      <c r="W47" s="671" t="n"/>
      <c r="X47" s="671" t="n"/>
      <c r="Y47" s="671" t="n"/>
      <c r="Z47" s="671" t="n"/>
      <c r="AA47" s="671" t="n"/>
      <c r="AB47" s="671" t="n"/>
      <c r="AC47" s="672" t="n"/>
      <c r="AD47" s="672" t="n"/>
      <c r="AE47" s="672" t="n"/>
      <c r="AF47" s="672" t="n"/>
      <c r="AG47" s="672" t="n"/>
      <c r="AH47" s="672" t="n"/>
      <c r="AI47" s="672" t="n"/>
      <c r="AJ47" s="672" t="n"/>
      <c r="AK47" s="672" t="n"/>
      <c r="AL47" s="672" t="n"/>
      <c r="AM47" s="672" t="n"/>
      <c r="AN47" s="672" t="n"/>
      <c r="AO47" s="672" t="n"/>
      <c r="AP47" s="672" t="n"/>
      <c r="AQ47" s="672" t="n"/>
      <c r="AR47" s="672" t="n"/>
    </row>
    <row r="48">
      <c r="A48" s="671" t="n"/>
      <c r="B48" s="671" t="n"/>
      <c r="C48" s="671" t="n"/>
      <c r="D48" s="671" t="n"/>
      <c r="E48" s="671" t="n"/>
      <c r="F48" s="671" t="n"/>
      <c r="G48" s="671" t="n"/>
      <c r="H48" s="671" t="n"/>
      <c r="I48" s="671" t="n"/>
      <c r="J48" s="671" t="n"/>
      <c r="K48" s="671" t="n"/>
      <c r="L48" s="671" t="n"/>
      <c r="M48" s="671" t="n"/>
      <c r="N48" s="671" t="n"/>
      <c r="O48" s="671" t="n"/>
      <c r="P48" s="671" t="n"/>
      <c r="Q48" s="671" t="n"/>
      <c r="R48" s="671" t="n"/>
      <c r="S48" s="671" t="n"/>
      <c r="T48" s="671" t="n"/>
      <c r="U48" s="671" t="n"/>
      <c r="V48" s="671" t="n"/>
      <c r="W48" s="671" t="n"/>
      <c r="X48" s="671" t="n"/>
      <c r="Y48" s="671" t="n"/>
      <c r="Z48" s="671" t="n"/>
      <c r="AA48" s="671" t="n"/>
      <c r="AB48" s="671" t="n"/>
      <c r="AC48" s="672" t="n"/>
      <c r="AD48" s="672" t="n"/>
      <c r="AE48" s="672" t="n"/>
      <c r="AF48" s="672" t="n"/>
      <c r="AG48" s="672" t="n"/>
      <c r="AH48" s="672" t="n"/>
      <c r="AI48" s="672" t="n"/>
      <c r="AJ48" s="672" t="n"/>
      <c r="AK48" s="672" t="n"/>
      <c r="AL48" s="672" t="n"/>
      <c r="AM48" s="672" t="n"/>
      <c r="AN48" s="672" t="n"/>
      <c r="AO48" s="672" t="n"/>
      <c r="AP48" s="672" t="n"/>
      <c r="AQ48" s="672" t="n"/>
      <c r="AR48" s="672" t="n"/>
    </row>
    <row r="49">
      <c r="A49" s="671" t="n"/>
      <c r="B49" s="671" t="n"/>
      <c r="C49" s="671" t="n"/>
      <c r="D49" s="671" t="n"/>
      <c r="E49" s="671" t="n"/>
      <c r="F49" s="671" t="n"/>
      <c r="G49" s="671" t="n"/>
      <c r="H49" s="671" t="n"/>
      <c r="I49" s="671" t="n"/>
      <c r="J49" s="671" t="n"/>
      <c r="K49" s="671" t="n"/>
      <c r="L49" s="671" t="n"/>
      <c r="M49" s="671" t="n"/>
      <c r="N49" s="671" t="n"/>
      <c r="O49" s="671" t="n"/>
      <c r="P49" s="671" t="n"/>
      <c r="Q49" s="671" t="n"/>
      <c r="R49" s="671" t="n"/>
      <c r="S49" s="671" t="n"/>
      <c r="T49" s="671" t="n"/>
      <c r="U49" s="671" t="n"/>
      <c r="V49" s="671" t="n"/>
      <c r="W49" s="671" t="n"/>
      <c r="X49" s="671" t="n"/>
      <c r="Y49" s="671" t="n"/>
      <c r="Z49" s="671" t="n"/>
      <c r="AA49" s="671" t="n"/>
      <c r="AB49" s="671" t="n"/>
      <c r="AC49" s="672" t="n"/>
      <c r="AD49" s="672" t="n"/>
      <c r="AE49" s="672" t="n"/>
      <c r="AF49" s="672" t="n"/>
      <c r="AG49" s="672" t="n"/>
      <c r="AH49" s="672" t="n"/>
      <c r="AI49" s="672" t="n"/>
      <c r="AJ49" s="672" t="n"/>
      <c r="AK49" s="672" t="n"/>
      <c r="AL49" s="672" t="n"/>
      <c r="AM49" s="672" t="n"/>
      <c r="AN49" s="672" t="n"/>
      <c r="AO49" s="672" t="n"/>
      <c r="AP49" s="672" t="n"/>
      <c r="AQ49" s="672" t="n"/>
      <c r="AR49" s="672" t="n"/>
    </row>
    <row r="50">
      <c r="A50" s="671" t="n"/>
      <c r="B50" s="671" t="n"/>
      <c r="C50" s="671" t="n"/>
      <c r="D50" s="671" t="n"/>
      <c r="E50" s="671" t="n"/>
      <c r="F50" s="671" t="n"/>
      <c r="G50" s="671" t="n"/>
      <c r="H50" s="671" t="n"/>
      <c r="I50" s="671" t="n"/>
      <c r="J50" s="671" t="n"/>
      <c r="K50" s="671" t="n"/>
      <c r="L50" s="671" t="n"/>
      <c r="M50" s="671" t="n"/>
      <c r="N50" s="671" t="n"/>
      <c r="O50" s="671" t="n"/>
      <c r="P50" s="671" t="n"/>
      <c r="Q50" s="671" t="n"/>
      <c r="R50" s="671" t="n"/>
      <c r="S50" s="671" t="n"/>
      <c r="T50" s="671" t="n"/>
      <c r="U50" s="671" t="n"/>
      <c r="V50" s="671" t="n"/>
      <c r="W50" s="671" t="n"/>
      <c r="X50" s="671" t="n"/>
      <c r="Y50" s="671" t="n"/>
      <c r="Z50" s="671" t="n"/>
      <c r="AA50" s="671" t="n"/>
      <c r="AB50" s="671" t="n"/>
      <c r="AC50" s="672" t="n"/>
      <c r="AD50" s="672" t="n"/>
      <c r="AE50" s="672" t="n"/>
      <c r="AF50" s="672" t="n"/>
      <c r="AG50" s="672" t="n"/>
      <c r="AH50" s="672" t="n"/>
      <c r="AI50" s="672" t="n"/>
      <c r="AJ50" s="672" t="n"/>
      <c r="AK50" s="672" t="n"/>
      <c r="AL50" s="672" t="n"/>
      <c r="AM50" s="672" t="n"/>
      <c r="AN50" s="672" t="n"/>
      <c r="AO50" s="672" t="n"/>
      <c r="AP50" s="672" t="n"/>
      <c r="AQ50" s="672" t="n"/>
      <c r="AR50" s="672" t="n"/>
    </row>
    <row r="51">
      <c r="A51" s="671" t="n"/>
      <c r="B51" s="671" t="n"/>
      <c r="C51" s="671" t="n"/>
      <c r="D51" s="671" t="n"/>
      <c r="E51" s="671" t="n"/>
      <c r="F51" s="671" t="n"/>
      <c r="G51" s="671" t="n"/>
      <c r="H51" s="671" t="n"/>
      <c r="I51" s="671" t="n"/>
      <c r="J51" s="671" t="n"/>
      <c r="K51" s="671" t="n"/>
      <c r="L51" s="671" t="n"/>
      <c r="M51" s="671" t="n"/>
      <c r="N51" s="671" t="n"/>
      <c r="O51" s="671" t="n"/>
      <c r="P51" s="671" t="n"/>
      <c r="Q51" s="671" t="n"/>
      <c r="R51" s="671" t="n"/>
      <c r="S51" s="671" t="n"/>
      <c r="T51" s="671" t="n"/>
      <c r="U51" s="671" t="n"/>
      <c r="V51" s="671" t="n"/>
      <c r="W51" s="671" t="n"/>
      <c r="X51" s="671" t="n"/>
      <c r="Y51" s="671" t="n"/>
      <c r="Z51" s="671" t="n"/>
      <c r="AA51" s="671" t="n"/>
      <c r="AB51" s="671" t="n"/>
      <c r="AC51" s="672" t="n"/>
      <c r="AD51" s="672" t="n"/>
      <c r="AE51" s="672" t="n"/>
      <c r="AF51" s="672" t="n"/>
      <c r="AG51" s="672" t="n"/>
      <c r="AH51" s="672" t="n"/>
      <c r="AI51" s="672" t="n"/>
      <c r="AJ51" s="672" t="n"/>
      <c r="AK51" s="672" t="n"/>
      <c r="AL51" s="672" t="n"/>
      <c r="AM51" s="672" t="n"/>
      <c r="AN51" s="672" t="n"/>
      <c r="AO51" s="672" t="n"/>
      <c r="AP51" s="672" t="n"/>
      <c r="AQ51" s="672" t="n"/>
      <c r="AR51" s="672" t="n"/>
    </row>
    <row r="52">
      <c r="A52" s="671" t="n"/>
      <c r="B52" s="671" t="n"/>
      <c r="C52" s="671" t="n"/>
      <c r="D52" s="671" t="n"/>
      <c r="E52" s="671" t="n"/>
      <c r="F52" s="671" t="n"/>
      <c r="G52" s="671" t="n"/>
      <c r="H52" s="671" t="n"/>
      <c r="I52" s="671" t="n"/>
      <c r="J52" s="671" t="n"/>
      <c r="K52" s="671" t="n"/>
      <c r="L52" s="671" t="n"/>
      <c r="M52" s="671" t="n"/>
      <c r="N52" s="671" t="n"/>
      <c r="O52" s="671" t="n"/>
      <c r="P52" s="671" t="n"/>
      <c r="Q52" s="671" t="n"/>
      <c r="R52" s="671" t="n"/>
      <c r="S52" s="671" t="n"/>
      <c r="T52" s="671" t="n"/>
      <c r="U52" s="671" t="n"/>
      <c r="V52" s="671" t="n"/>
      <c r="W52" s="671" t="n"/>
      <c r="X52" s="671" t="n"/>
      <c r="Y52" s="671" t="n"/>
      <c r="Z52" s="671" t="n"/>
      <c r="AA52" s="671" t="n"/>
      <c r="AB52" s="671" t="n"/>
      <c r="AC52" s="672" t="n"/>
      <c r="AD52" s="672" t="n"/>
      <c r="AE52" s="672" t="n"/>
      <c r="AF52" s="672" t="n"/>
      <c r="AG52" s="672" t="n"/>
      <c r="AH52" s="672" t="n"/>
      <c r="AI52" s="672" t="n"/>
      <c r="AJ52" s="672" t="n"/>
      <c r="AK52" s="672" t="n"/>
      <c r="AL52" s="672" t="n"/>
      <c r="AM52" s="672" t="n"/>
      <c r="AN52" s="672" t="n"/>
      <c r="AO52" s="672" t="n"/>
      <c r="AP52" s="672" t="n"/>
      <c r="AQ52" s="672" t="n"/>
      <c r="AR52" s="672" t="n"/>
    </row>
    <row r="53">
      <c r="A53" s="671" t="n"/>
      <c r="B53" s="671" t="n"/>
      <c r="C53" s="671" t="n"/>
      <c r="D53" s="671" t="n"/>
      <c r="E53" s="671" t="n"/>
      <c r="F53" s="671" t="n"/>
      <c r="G53" s="671" t="n"/>
      <c r="H53" s="671" t="n"/>
      <c r="I53" s="671" t="n"/>
      <c r="J53" s="671" t="n"/>
      <c r="K53" s="671" t="n"/>
      <c r="L53" s="671" t="n"/>
      <c r="M53" s="671" t="n"/>
      <c r="N53" s="671" t="n"/>
      <c r="O53" s="671" t="n"/>
      <c r="P53" s="671" t="n"/>
      <c r="Q53" s="671" t="n"/>
      <c r="R53" s="671" t="n"/>
      <c r="S53" s="671" t="n"/>
      <c r="T53" s="671" t="n"/>
      <c r="U53" s="671" t="n"/>
      <c r="V53" s="671" t="n"/>
      <c r="W53" s="671" t="n"/>
      <c r="X53" s="671" t="n"/>
      <c r="Y53" s="671" t="n"/>
      <c r="Z53" s="671" t="n"/>
      <c r="AA53" s="671" t="n"/>
      <c r="AB53" s="671" t="n"/>
      <c r="AC53" s="672" t="n"/>
      <c r="AD53" s="672" t="n"/>
      <c r="AE53" s="672" t="n"/>
      <c r="AF53" s="672" t="n"/>
      <c r="AG53" s="672" t="n"/>
      <c r="AH53" s="672" t="n"/>
      <c r="AI53" s="672" t="n"/>
      <c r="AJ53" s="672" t="n"/>
      <c r="AK53" s="672" t="n"/>
      <c r="AL53" s="672" t="n"/>
      <c r="AM53" s="672" t="n"/>
      <c r="AN53" s="672" t="n"/>
      <c r="AO53" s="672" t="n"/>
      <c r="AP53" s="672" t="n"/>
      <c r="AQ53" s="672" t="n"/>
      <c r="AR53" s="672" t="n"/>
    </row>
    <row r="54">
      <c r="A54" s="671" t="n"/>
      <c r="B54" s="671" t="n"/>
      <c r="C54" s="671" t="n"/>
      <c r="D54" s="671" t="n"/>
      <c r="E54" s="671" t="n"/>
      <c r="F54" s="671" t="n"/>
      <c r="G54" s="671" t="n"/>
      <c r="H54" s="671" t="n"/>
      <c r="I54" s="671" t="n"/>
      <c r="J54" s="671" t="n"/>
      <c r="K54" s="671" t="n"/>
      <c r="L54" s="671" t="n"/>
      <c r="M54" s="671" t="n"/>
      <c r="N54" s="671" t="n"/>
      <c r="O54" s="671" t="n"/>
      <c r="P54" s="671" t="n"/>
      <c r="Q54" s="671" t="n"/>
      <c r="R54" s="671" t="n"/>
      <c r="S54" s="671" t="n"/>
      <c r="T54" s="671" t="n"/>
      <c r="U54" s="671" t="n"/>
      <c r="V54" s="671" t="n"/>
      <c r="W54" s="671" t="n"/>
      <c r="X54" s="671" t="n"/>
      <c r="Y54" s="671" t="n"/>
      <c r="Z54" s="671" t="n"/>
      <c r="AA54" s="671" t="n"/>
      <c r="AB54" s="671" t="n"/>
      <c r="AC54" s="672" t="n"/>
      <c r="AD54" s="672" t="n"/>
      <c r="AE54" s="672" t="n"/>
      <c r="AF54" s="672" t="n"/>
      <c r="AG54" s="672" t="n"/>
      <c r="AH54" s="672" t="n"/>
      <c r="AI54" s="672" t="n"/>
      <c r="AJ54" s="672" t="n"/>
      <c r="AK54" s="672" t="n"/>
      <c r="AL54" s="672" t="n"/>
      <c r="AM54" s="672" t="n"/>
      <c r="AN54" s="672" t="n"/>
      <c r="AO54" s="672" t="n"/>
      <c r="AP54" s="672" t="n"/>
      <c r="AQ54" s="672" t="n"/>
      <c r="AR54" s="672" t="n"/>
    </row>
    <row r="55">
      <c r="A55" s="671" t="n"/>
      <c r="B55" s="671" t="n"/>
      <c r="C55" s="671" t="n"/>
      <c r="D55" s="671" t="n"/>
      <c r="E55" s="671" t="n"/>
      <c r="F55" s="671" t="n"/>
      <c r="G55" s="671" t="n"/>
      <c r="H55" s="671" t="n"/>
      <c r="I55" s="671" t="n"/>
      <c r="J55" s="671" t="n"/>
      <c r="K55" s="671" t="n"/>
      <c r="L55" s="671" t="n"/>
      <c r="M55" s="671" t="n"/>
      <c r="N55" s="671" t="n"/>
      <c r="O55" s="671" t="n"/>
      <c r="P55" s="671" t="n"/>
      <c r="Q55" s="671" t="n"/>
      <c r="R55" s="671" t="n"/>
      <c r="S55" s="671" t="n"/>
      <c r="T55" s="671" t="n"/>
      <c r="U55" s="671" t="n"/>
      <c r="V55" s="671" t="n"/>
      <c r="W55" s="671" t="n"/>
      <c r="X55" s="671" t="n"/>
      <c r="Y55" s="671" t="n"/>
      <c r="Z55" s="671" t="n"/>
      <c r="AA55" s="671" t="n"/>
      <c r="AB55" s="671" t="n"/>
      <c r="AC55" s="672" t="n"/>
      <c r="AD55" s="672" t="n"/>
      <c r="AE55" s="672" t="n"/>
      <c r="AF55" s="672" t="n"/>
      <c r="AG55" s="672" t="n"/>
      <c r="AH55" s="672" t="n"/>
      <c r="AI55" s="672" t="n"/>
      <c r="AJ55" s="672" t="n"/>
      <c r="AK55" s="672" t="n"/>
      <c r="AL55" s="672" t="n"/>
      <c r="AM55" s="672" t="n"/>
      <c r="AN55" s="672" t="n"/>
      <c r="AO55" s="672" t="n"/>
      <c r="AP55" s="672" t="n"/>
      <c r="AQ55" s="672" t="n"/>
      <c r="AR55" s="672" t="n"/>
    </row>
    <row r="56">
      <c r="A56" s="671" t="n"/>
      <c r="B56" s="671" t="n"/>
      <c r="C56" s="671" t="n"/>
      <c r="D56" s="671" t="n"/>
      <c r="E56" s="671" t="n"/>
      <c r="F56" s="671" t="n"/>
      <c r="G56" s="671" t="n"/>
      <c r="H56" s="671" t="n"/>
      <c r="I56" s="671" t="n"/>
      <c r="J56" s="671" t="n"/>
      <c r="K56" s="671" t="n"/>
      <c r="L56" s="671" t="n"/>
      <c r="M56" s="671" t="n"/>
      <c r="N56" s="671" t="n"/>
      <c r="O56" s="671" t="n"/>
      <c r="P56" s="671" t="n"/>
      <c r="Q56" s="671" t="n"/>
      <c r="R56" s="671" t="n"/>
      <c r="S56" s="671" t="n"/>
      <c r="T56" s="671" t="n"/>
      <c r="U56" s="671" t="n"/>
      <c r="V56" s="671" t="n"/>
      <c r="W56" s="671" t="n"/>
      <c r="X56" s="671" t="n"/>
      <c r="Y56" s="671" t="n"/>
      <c r="Z56" s="671" t="n"/>
      <c r="AA56" s="671" t="n"/>
      <c r="AB56" s="671" t="n"/>
      <c r="AC56" s="672" t="n"/>
      <c r="AD56" s="672" t="n"/>
      <c r="AE56" s="672" t="n"/>
      <c r="AF56" s="672" t="n"/>
      <c r="AG56" s="672" t="n"/>
      <c r="AH56" s="672" t="n"/>
      <c r="AI56" s="672" t="n"/>
      <c r="AJ56" s="672" t="n"/>
      <c r="AK56" s="672" t="n"/>
      <c r="AL56" s="672" t="n"/>
      <c r="AM56" s="672" t="n"/>
      <c r="AN56" s="672" t="n"/>
      <c r="AO56" s="672" t="n"/>
      <c r="AP56" s="672" t="n"/>
      <c r="AQ56" s="672" t="n"/>
      <c r="AR56" s="672" t="n"/>
    </row>
    <row r="57">
      <c r="A57" s="671" t="n"/>
      <c r="B57" s="671" t="n"/>
      <c r="C57" s="671" t="n"/>
      <c r="D57" s="671" t="n"/>
      <c r="E57" s="671" t="n"/>
      <c r="F57" s="671" t="n"/>
      <c r="G57" s="671" t="n"/>
      <c r="H57" s="671" t="n"/>
      <c r="I57" s="671" t="n"/>
      <c r="J57" s="671" t="n"/>
      <c r="K57" s="671" t="n"/>
      <c r="L57" s="671" t="n"/>
      <c r="M57" s="671" t="n"/>
      <c r="N57" s="671" t="n"/>
      <c r="O57" s="671" t="n"/>
      <c r="P57" s="671" t="n"/>
      <c r="Q57" s="671" t="n"/>
      <c r="R57" s="671" t="n"/>
      <c r="S57" s="671" t="n"/>
      <c r="T57" s="671" t="n"/>
      <c r="U57" s="671" t="n"/>
      <c r="V57" s="671" t="n"/>
      <c r="W57" s="671" t="n"/>
      <c r="X57" s="671" t="n"/>
      <c r="Y57" s="671" t="n"/>
      <c r="Z57" s="671" t="n"/>
      <c r="AA57" s="671" t="n"/>
      <c r="AB57" s="671" t="n"/>
      <c r="AC57" s="672" t="n"/>
      <c r="AD57" s="672" t="n"/>
      <c r="AE57" s="672" t="n"/>
      <c r="AF57" s="672" t="n"/>
      <c r="AG57" s="672" t="n"/>
      <c r="AH57" s="672" t="n"/>
      <c r="AI57" s="672" t="n"/>
      <c r="AJ57" s="672" t="n"/>
      <c r="AK57" s="672" t="n"/>
      <c r="AL57" s="672" t="n"/>
      <c r="AM57" s="672" t="n"/>
      <c r="AN57" s="672" t="n"/>
      <c r="AO57" s="672" t="n"/>
      <c r="AP57" s="672" t="n"/>
      <c r="AQ57" s="672" t="n"/>
      <c r="AR57" s="672" t="n"/>
    </row>
    <row r="58">
      <c r="A58" s="671" t="n"/>
      <c r="B58" s="671" t="n"/>
      <c r="C58" s="671" t="n"/>
      <c r="D58" s="671" t="n"/>
      <c r="E58" s="671" t="n"/>
      <c r="F58" s="671" t="n"/>
      <c r="G58" s="671" t="n"/>
      <c r="H58" s="671" t="n"/>
      <c r="I58" s="671" t="n"/>
      <c r="J58" s="671" t="n"/>
      <c r="K58" s="671" t="n"/>
      <c r="L58" s="671" t="n"/>
      <c r="M58" s="671" t="n"/>
      <c r="N58" s="671" t="n"/>
      <c r="O58" s="671" t="n"/>
      <c r="P58" s="671" t="n"/>
      <c r="Q58" s="671" t="n"/>
      <c r="R58" s="671" t="n"/>
      <c r="S58" s="671" t="n"/>
      <c r="T58" s="671" t="n"/>
      <c r="U58" s="671" t="n"/>
      <c r="V58" s="671" t="n"/>
      <c r="W58" s="671" t="n"/>
      <c r="X58" s="671" t="n"/>
      <c r="Y58" s="671" t="n"/>
      <c r="Z58" s="671" t="n"/>
      <c r="AA58" s="671" t="n"/>
      <c r="AB58" s="671" t="n"/>
      <c r="AC58" s="672" t="n"/>
      <c r="AD58" s="672" t="n"/>
      <c r="AE58" s="672" t="n"/>
      <c r="AF58" s="672" t="n"/>
      <c r="AG58" s="672" t="n"/>
      <c r="AH58" s="672" t="n"/>
      <c r="AI58" s="672" t="n"/>
      <c r="AJ58" s="672" t="n"/>
      <c r="AK58" s="672" t="n"/>
      <c r="AL58" s="672" t="n"/>
      <c r="AM58" s="672" t="n"/>
      <c r="AN58" s="672" t="n"/>
      <c r="AO58" s="672" t="n"/>
      <c r="AP58" s="672" t="n"/>
      <c r="AQ58" s="672" t="n"/>
      <c r="AR58" s="672" t="n"/>
    </row>
    <row r="59">
      <c r="A59" s="671" t="n"/>
      <c r="B59" s="671" t="n"/>
      <c r="C59" s="671" t="n"/>
      <c r="D59" s="671" t="n"/>
      <c r="E59" s="671" t="n"/>
      <c r="F59" s="671" t="n"/>
      <c r="G59" s="671" t="n"/>
      <c r="H59" s="671" t="n"/>
      <c r="I59" s="671" t="n"/>
      <c r="J59" s="671" t="n"/>
      <c r="K59" s="671" t="n"/>
      <c r="L59" s="671" t="n"/>
      <c r="M59" s="671" t="n"/>
      <c r="N59" s="671" t="n"/>
      <c r="O59" s="671" t="n"/>
      <c r="P59" s="671" t="n"/>
      <c r="Q59" s="671" t="n"/>
      <c r="R59" s="671" t="n"/>
      <c r="S59" s="671" t="n"/>
      <c r="T59" s="671" t="n"/>
      <c r="U59" s="671" t="n"/>
      <c r="V59" s="671" t="n"/>
      <c r="W59" s="671" t="n"/>
      <c r="X59" s="671" t="n"/>
      <c r="Y59" s="671" t="n"/>
      <c r="Z59" s="671" t="n"/>
      <c r="AA59" s="671" t="n"/>
      <c r="AB59" s="671" t="n"/>
      <c r="AC59" s="672" t="n"/>
      <c r="AD59" s="672" t="n"/>
      <c r="AE59" s="672" t="n"/>
      <c r="AF59" s="672" t="n"/>
      <c r="AG59" s="672" t="n"/>
      <c r="AH59" s="672" t="n"/>
      <c r="AI59" s="672" t="n"/>
      <c r="AJ59" s="672" t="n"/>
      <c r="AK59" s="672" t="n"/>
      <c r="AL59" s="672" t="n"/>
      <c r="AM59" s="672" t="n"/>
      <c r="AN59" s="672" t="n"/>
      <c r="AO59" s="672" t="n"/>
      <c r="AP59" s="672" t="n"/>
      <c r="AQ59" s="672" t="n"/>
      <c r="AR59" s="672" t="n"/>
    </row>
    <row r="60">
      <c r="A60" s="671" t="n"/>
      <c r="B60" s="671" t="n"/>
      <c r="C60" s="671" t="n"/>
      <c r="D60" s="671" t="n"/>
      <c r="E60" s="671" t="n"/>
      <c r="F60" s="671" t="n"/>
      <c r="G60" s="671" t="n"/>
      <c r="H60" s="671" t="n"/>
      <c r="I60" s="671" t="n"/>
      <c r="J60" s="671" t="n"/>
      <c r="K60" s="671" t="n"/>
      <c r="L60" s="671" t="n"/>
      <c r="M60" s="671" t="n"/>
      <c r="N60" s="671" t="n"/>
      <c r="O60" s="671" t="n"/>
      <c r="P60" s="671" t="n"/>
      <c r="Q60" s="671" t="n"/>
      <c r="R60" s="671" t="n"/>
      <c r="S60" s="671" t="n"/>
      <c r="T60" s="671" t="n"/>
      <c r="U60" s="671" t="n"/>
      <c r="V60" s="671" t="n"/>
      <c r="W60" s="671" t="n"/>
      <c r="X60" s="671" t="n"/>
      <c r="Y60" s="671" t="n"/>
      <c r="Z60" s="671" t="n"/>
      <c r="AA60" s="671" t="n"/>
      <c r="AB60" s="671" t="n"/>
      <c r="AC60" s="672" t="n"/>
      <c r="AD60" s="672" t="n"/>
      <c r="AE60" s="672" t="n"/>
      <c r="AF60" s="672" t="n"/>
      <c r="AG60" s="672" t="n"/>
      <c r="AH60" s="672" t="n"/>
      <c r="AI60" s="672" t="n"/>
      <c r="AJ60" s="672" t="n"/>
      <c r="AK60" s="672" t="n"/>
      <c r="AL60" s="672" t="n"/>
      <c r="AM60" s="672" t="n"/>
      <c r="AN60" s="672" t="n"/>
      <c r="AO60" s="672" t="n"/>
      <c r="AP60" s="672" t="n"/>
      <c r="AQ60" s="672" t="n"/>
      <c r="AR60" s="672" t="n"/>
    </row>
    <row r="61">
      <c r="A61" s="671" t="n"/>
      <c r="B61" s="671" t="n"/>
      <c r="C61" s="671" t="n"/>
      <c r="D61" s="671" t="n"/>
      <c r="E61" s="671" t="n"/>
      <c r="F61" s="671" t="n"/>
      <c r="G61" s="671" t="n"/>
      <c r="H61" s="671" t="n"/>
      <c r="I61" s="671" t="n"/>
      <c r="J61" s="671" t="n"/>
      <c r="K61" s="671" t="n"/>
      <c r="L61" s="671" t="n"/>
      <c r="M61" s="671" t="n"/>
      <c r="N61" s="671" t="n"/>
      <c r="O61" s="671" t="n"/>
      <c r="P61" s="671" t="n"/>
      <c r="Q61" s="671" t="n"/>
      <c r="R61" s="671" t="n"/>
      <c r="S61" s="671" t="n"/>
      <c r="T61" s="671" t="n"/>
      <c r="U61" s="671" t="n"/>
      <c r="V61" s="671" t="n"/>
      <c r="W61" s="671" t="n"/>
      <c r="X61" s="671" t="n"/>
      <c r="Y61" s="671" t="n"/>
      <c r="Z61" s="671" t="n"/>
      <c r="AA61" s="671" t="n"/>
      <c r="AB61" s="671" t="n"/>
      <c r="AC61" s="672" t="n"/>
      <c r="AD61" s="672" t="n"/>
      <c r="AE61" s="672" t="n"/>
      <c r="AF61" s="672" t="n"/>
      <c r="AG61" s="672" t="n"/>
      <c r="AH61" s="672" t="n"/>
      <c r="AI61" s="672" t="n"/>
      <c r="AJ61" s="672" t="n"/>
      <c r="AK61" s="672" t="n"/>
      <c r="AL61" s="672" t="n"/>
      <c r="AM61" s="672" t="n"/>
      <c r="AN61" s="672" t="n"/>
      <c r="AO61" s="672" t="n"/>
      <c r="AP61" s="672" t="n"/>
      <c r="AQ61" s="672" t="n"/>
      <c r="AR61" s="672" t="n"/>
    </row>
    <row r="62">
      <c r="A62" s="671" t="n"/>
      <c r="B62" s="671" t="n"/>
      <c r="C62" s="671" t="n"/>
      <c r="D62" s="671" t="n"/>
      <c r="E62" s="671" t="n"/>
      <c r="F62" s="671" t="n"/>
      <c r="G62" s="671" t="n"/>
      <c r="H62" s="671" t="n"/>
      <c r="I62" s="671" t="n"/>
      <c r="J62" s="671" t="n"/>
      <c r="K62" s="671" t="n"/>
      <c r="L62" s="671" t="n"/>
      <c r="M62" s="671" t="n"/>
      <c r="N62" s="671" t="n"/>
      <c r="O62" s="671" t="n"/>
      <c r="P62" s="671" t="n"/>
      <c r="Q62" s="671" t="n"/>
      <c r="R62" s="671" t="n"/>
      <c r="S62" s="671" t="n"/>
      <c r="T62" s="671" t="n"/>
      <c r="U62" s="671" t="n"/>
      <c r="V62" s="671" t="n"/>
      <c r="W62" s="671" t="n"/>
      <c r="X62" s="671" t="n"/>
      <c r="Y62" s="671" t="n"/>
      <c r="Z62" s="671" t="n"/>
      <c r="AA62" s="671" t="n"/>
      <c r="AB62" s="671" t="n"/>
      <c r="AC62" s="672" t="n"/>
      <c r="AD62" s="672" t="n"/>
      <c r="AE62" s="672" t="n"/>
      <c r="AF62" s="672" t="n"/>
      <c r="AG62" s="672" t="n"/>
      <c r="AH62" s="672" t="n"/>
      <c r="AI62" s="672" t="n"/>
      <c r="AJ62" s="672" t="n"/>
      <c r="AK62" s="672" t="n"/>
      <c r="AL62" s="672" t="n"/>
      <c r="AM62" s="672" t="n"/>
      <c r="AN62" s="672" t="n"/>
      <c r="AO62" s="672" t="n"/>
      <c r="AP62" s="672" t="n"/>
      <c r="AQ62" s="672" t="n"/>
      <c r="AR62" s="672" t="n"/>
    </row>
    <row r="63">
      <c r="A63" s="671" t="n"/>
      <c r="B63" s="671" t="n"/>
      <c r="C63" s="671" t="n"/>
      <c r="D63" s="671" t="n"/>
      <c r="E63" s="671" t="n"/>
      <c r="F63" s="671" t="n"/>
      <c r="G63" s="671" t="n"/>
      <c r="H63" s="671" t="n"/>
      <c r="I63" s="671" t="n"/>
      <c r="J63" s="671" t="n"/>
      <c r="K63" s="671" t="n"/>
      <c r="L63" s="671" t="n"/>
      <c r="M63" s="671" t="n"/>
      <c r="N63" s="671" t="n"/>
      <c r="O63" s="671" t="n"/>
      <c r="P63" s="671" t="n"/>
      <c r="Q63" s="671" t="n"/>
      <c r="R63" s="671" t="n"/>
      <c r="S63" s="671" t="n"/>
      <c r="T63" s="671" t="n"/>
      <c r="U63" s="671" t="n"/>
      <c r="V63" s="671" t="n"/>
      <c r="W63" s="671" t="n"/>
      <c r="X63" s="671" t="n"/>
      <c r="Y63" s="671" t="n"/>
      <c r="Z63" s="671" t="n"/>
      <c r="AA63" s="671" t="n"/>
      <c r="AB63" s="671" t="n"/>
      <c r="AC63" s="672" t="n"/>
      <c r="AD63" s="672" t="n"/>
      <c r="AE63" s="672" t="n"/>
      <c r="AF63" s="672" t="n"/>
      <c r="AG63" s="672" t="n"/>
      <c r="AH63" s="672" t="n"/>
      <c r="AI63" s="672" t="n"/>
      <c r="AJ63" s="672" t="n"/>
      <c r="AK63" s="672" t="n"/>
      <c r="AL63" s="672" t="n"/>
      <c r="AM63" s="672" t="n"/>
      <c r="AN63" s="672" t="n"/>
      <c r="AO63" s="672" t="n"/>
      <c r="AP63" s="672" t="n"/>
      <c r="AQ63" s="672" t="n"/>
      <c r="AR63" s="672" t="n"/>
    </row>
    <row r="64">
      <c r="A64" s="671" t="n"/>
      <c r="B64" s="671" t="n"/>
      <c r="C64" s="671" t="n"/>
      <c r="D64" s="671" t="n"/>
      <c r="E64" s="671" t="n"/>
      <c r="F64" s="671" t="n"/>
      <c r="G64" s="671" t="n"/>
      <c r="H64" s="671" t="n"/>
      <c r="I64" s="671" t="n"/>
      <c r="J64" s="671" t="n"/>
      <c r="K64" s="671" t="n"/>
      <c r="L64" s="671" t="n"/>
      <c r="M64" s="671" t="n"/>
      <c r="N64" s="671" t="n"/>
      <c r="O64" s="671" t="n"/>
      <c r="P64" s="671" t="n"/>
      <c r="Q64" s="671" t="n"/>
      <c r="R64" s="671" t="n"/>
      <c r="S64" s="671" t="n"/>
      <c r="T64" s="671" t="n"/>
      <c r="U64" s="671" t="n"/>
      <c r="V64" s="671" t="n"/>
      <c r="W64" s="671" t="n"/>
      <c r="X64" s="671" t="n"/>
      <c r="Y64" s="671" t="n"/>
      <c r="Z64" s="671" t="n"/>
      <c r="AA64" s="671" t="n"/>
      <c r="AB64" s="671" t="n"/>
      <c r="AC64" s="672" t="n"/>
      <c r="AD64" s="672" t="n"/>
      <c r="AE64" s="672" t="n"/>
      <c r="AF64" s="672" t="n"/>
      <c r="AG64" s="672" t="n"/>
      <c r="AH64" s="672" t="n"/>
      <c r="AI64" s="672" t="n"/>
      <c r="AJ64" s="672" t="n"/>
      <c r="AK64" s="672" t="n"/>
      <c r="AL64" s="672" t="n"/>
      <c r="AM64" s="672" t="n"/>
      <c r="AN64" s="672" t="n"/>
      <c r="AO64" s="672" t="n"/>
      <c r="AP64" s="672" t="n"/>
      <c r="AQ64" s="672" t="n"/>
      <c r="AR64" s="672" t="n"/>
    </row>
    <row r="65">
      <c r="A65" s="671" t="n"/>
      <c r="B65" s="671" t="n"/>
      <c r="C65" s="671" t="n"/>
      <c r="D65" s="671" t="n"/>
      <c r="E65" s="671" t="n"/>
      <c r="F65" s="671" t="n"/>
      <c r="G65" s="671" t="n"/>
      <c r="H65" s="671" t="n"/>
      <c r="I65" s="671" t="n"/>
      <c r="J65" s="671" t="n"/>
      <c r="K65" s="671" t="n"/>
      <c r="L65" s="671" t="n"/>
      <c r="M65" s="671" t="n"/>
      <c r="N65" s="671" t="n"/>
      <c r="O65" s="671" t="n"/>
      <c r="P65" s="671" t="n"/>
      <c r="Q65" s="671" t="n"/>
      <c r="R65" s="671" t="n"/>
      <c r="S65" s="671" t="n"/>
      <c r="T65" s="671" t="n"/>
      <c r="U65" s="671" t="n"/>
      <c r="V65" s="671" t="n"/>
      <c r="W65" s="671" t="n"/>
      <c r="X65" s="671" t="n"/>
      <c r="Y65" s="671" t="n"/>
      <c r="Z65" s="671" t="n"/>
      <c r="AA65" s="671" t="n"/>
      <c r="AB65" s="671" t="n"/>
      <c r="AC65" s="672" t="n"/>
      <c r="AD65" s="672" t="n"/>
      <c r="AE65" s="672" t="n"/>
      <c r="AF65" s="672" t="n"/>
      <c r="AG65" s="672" t="n"/>
      <c r="AH65" s="672" t="n"/>
      <c r="AI65" s="672" t="n"/>
      <c r="AJ65" s="672" t="n"/>
      <c r="AK65" s="672" t="n"/>
      <c r="AL65" s="672" t="n"/>
      <c r="AM65" s="672" t="n"/>
      <c r="AN65" s="672" t="n"/>
      <c r="AO65" s="672" t="n"/>
      <c r="AP65" s="672" t="n"/>
      <c r="AQ65" s="672" t="n"/>
      <c r="AR65" s="672" t="n"/>
    </row>
    <row r="66">
      <c r="A66" s="671" t="n"/>
      <c r="B66" s="671" t="n"/>
      <c r="C66" s="671" t="n"/>
      <c r="D66" s="671" t="n"/>
      <c r="E66" s="671" t="n"/>
      <c r="F66" s="671" t="n"/>
      <c r="G66" s="671" t="n"/>
      <c r="H66" s="671" t="n"/>
      <c r="I66" s="671" t="n"/>
      <c r="J66" s="671" t="n"/>
      <c r="K66" s="671" t="n"/>
      <c r="L66" s="671" t="n"/>
      <c r="M66" s="671" t="n"/>
      <c r="N66" s="671" t="n"/>
      <c r="O66" s="671" t="n"/>
      <c r="P66" s="671" t="n"/>
      <c r="Q66" s="671" t="n"/>
      <c r="R66" s="671" t="n"/>
      <c r="S66" s="671" t="n"/>
      <c r="T66" s="671" t="n"/>
      <c r="U66" s="671" t="n"/>
      <c r="V66" s="671" t="n"/>
      <c r="W66" s="671" t="n"/>
      <c r="X66" s="671" t="n"/>
      <c r="Y66" s="671" t="n"/>
      <c r="Z66" s="671" t="n"/>
      <c r="AA66" s="671" t="n"/>
      <c r="AB66" s="671" t="n"/>
      <c r="AC66" s="672" t="n"/>
      <c r="AD66" s="672" t="n"/>
      <c r="AE66" s="672" t="n"/>
      <c r="AF66" s="672" t="n"/>
      <c r="AG66" s="672" t="n"/>
      <c r="AH66" s="672" t="n"/>
      <c r="AI66" s="672" t="n"/>
      <c r="AJ66" s="672" t="n"/>
      <c r="AK66" s="672" t="n"/>
      <c r="AL66" s="672" t="n"/>
      <c r="AM66" s="672" t="n"/>
      <c r="AN66" s="672" t="n"/>
      <c r="AO66" s="672" t="n"/>
      <c r="AP66" s="672" t="n"/>
      <c r="AQ66" s="672" t="n"/>
      <c r="AR66" s="672" t="n"/>
    </row>
    <row r="67">
      <c r="A67" s="671" t="n"/>
      <c r="B67" s="671" t="n"/>
      <c r="C67" s="671" t="n"/>
      <c r="D67" s="671" t="n"/>
      <c r="E67" s="671" t="n"/>
      <c r="F67" s="671" t="n"/>
      <c r="G67" s="671" t="n"/>
      <c r="H67" s="671" t="n"/>
      <c r="I67" s="671" t="n"/>
      <c r="J67" s="671" t="n"/>
      <c r="K67" s="671" t="n"/>
      <c r="L67" s="671" t="n"/>
      <c r="M67" s="671" t="n"/>
      <c r="N67" s="671" t="n"/>
      <c r="O67" s="671" t="n"/>
      <c r="P67" s="671" t="n"/>
      <c r="Q67" s="671" t="n"/>
      <c r="R67" s="671" t="n"/>
      <c r="S67" s="671" t="n"/>
      <c r="T67" s="671" t="n"/>
      <c r="U67" s="671" t="n"/>
      <c r="V67" s="671" t="n"/>
      <c r="W67" s="671" t="n"/>
      <c r="X67" s="671" t="n"/>
      <c r="Y67" s="671" t="n"/>
      <c r="Z67" s="671" t="n"/>
      <c r="AA67" s="671" t="n"/>
      <c r="AB67" s="671" t="n"/>
      <c r="AC67" s="672" t="n"/>
      <c r="AD67" s="672" t="n"/>
      <c r="AE67" s="672" t="n"/>
      <c r="AF67" s="672" t="n"/>
      <c r="AG67" s="672" t="n"/>
      <c r="AH67" s="672" t="n"/>
      <c r="AI67" s="672" t="n"/>
      <c r="AJ67" s="672" t="n"/>
      <c r="AK67" s="672" t="n"/>
      <c r="AL67" s="672" t="n"/>
      <c r="AM67" s="672" t="n"/>
      <c r="AN67" s="672" t="n"/>
      <c r="AO67" s="672" t="n"/>
      <c r="AP67" s="672" t="n"/>
      <c r="AQ67" s="672" t="n"/>
      <c r="AR67" s="672" t="n"/>
    </row>
    <row r="68">
      <c r="A68" s="671" t="n"/>
      <c r="B68" s="671" t="n"/>
      <c r="C68" s="671" t="n"/>
      <c r="D68" s="671" t="n"/>
      <c r="E68" s="671" t="n"/>
      <c r="F68" s="671" t="n"/>
      <c r="G68" s="671" t="n"/>
      <c r="H68" s="671" t="n"/>
      <c r="I68" s="671" t="n"/>
      <c r="J68" s="671" t="n"/>
      <c r="K68" s="671" t="n"/>
      <c r="L68" s="671" t="n"/>
      <c r="M68" s="671" t="n"/>
      <c r="N68" s="671" t="n"/>
      <c r="O68" s="671" t="n"/>
      <c r="P68" s="671" t="n"/>
      <c r="Q68" s="671" t="n"/>
      <c r="R68" s="671" t="n"/>
      <c r="S68" s="671" t="n"/>
      <c r="T68" s="671" t="n"/>
      <c r="U68" s="671" t="n"/>
      <c r="V68" s="671" t="n"/>
      <c r="W68" s="671" t="n"/>
      <c r="X68" s="671" t="n"/>
      <c r="Y68" s="671" t="n"/>
      <c r="Z68" s="671" t="n"/>
      <c r="AA68" s="671" t="n"/>
      <c r="AB68" s="671" t="n"/>
      <c r="AC68" s="672" t="n"/>
      <c r="AD68" s="672" t="n"/>
      <c r="AE68" s="672" t="n"/>
      <c r="AF68" s="672" t="n"/>
      <c r="AG68" s="672" t="n"/>
      <c r="AH68" s="672" t="n"/>
      <c r="AI68" s="672" t="n"/>
      <c r="AJ68" s="672" t="n"/>
      <c r="AK68" s="672" t="n"/>
      <c r="AL68" s="672" t="n"/>
      <c r="AM68" s="672" t="n"/>
      <c r="AN68" s="672" t="n"/>
      <c r="AO68" s="672" t="n"/>
      <c r="AP68" s="672" t="n"/>
      <c r="AQ68" s="672" t="n"/>
      <c r="AR68" s="672" t="n"/>
    </row>
    <row r="69">
      <c r="A69" s="671" t="n"/>
      <c r="B69" s="671" t="n"/>
      <c r="C69" s="671" t="n"/>
      <c r="D69" s="671" t="n"/>
      <c r="E69" s="671" t="n"/>
      <c r="F69" s="671" t="n"/>
      <c r="G69" s="671" t="n"/>
      <c r="H69" s="671" t="n"/>
      <c r="I69" s="671" t="n"/>
      <c r="J69" s="671" t="n"/>
      <c r="K69" s="671" t="n"/>
      <c r="L69" s="671" t="n"/>
      <c r="M69" s="671" t="n"/>
      <c r="N69" s="671" t="n"/>
      <c r="O69" s="671" t="n"/>
      <c r="P69" s="671" t="n"/>
      <c r="Q69" s="671" t="n"/>
      <c r="R69" s="671" t="n"/>
      <c r="S69" s="671" t="n"/>
      <c r="T69" s="671" t="n"/>
      <c r="U69" s="671" t="n"/>
      <c r="V69" s="671" t="n"/>
      <c r="W69" s="671" t="n"/>
      <c r="X69" s="671" t="n"/>
      <c r="Y69" s="671" t="n"/>
      <c r="Z69" s="671" t="n"/>
      <c r="AA69" s="671" t="n"/>
      <c r="AB69" s="671" t="n"/>
      <c r="AC69" s="672" t="n"/>
      <c r="AD69" s="672" t="n"/>
      <c r="AE69" s="672" t="n"/>
      <c r="AF69" s="672" t="n"/>
      <c r="AG69" s="672" t="n"/>
      <c r="AH69" s="672" t="n"/>
      <c r="AI69" s="672" t="n"/>
      <c r="AJ69" s="672" t="n"/>
      <c r="AK69" s="672" t="n"/>
      <c r="AL69" s="672" t="n"/>
      <c r="AM69" s="672" t="n"/>
      <c r="AN69" s="672" t="n"/>
      <c r="AO69" s="672" t="n"/>
      <c r="AP69" s="672" t="n"/>
      <c r="AQ69" s="672" t="n"/>
      <c r="AR69" s="672" t="n"/>
    </row>
  </sheetData>
  <mergeCells count="15">
    <mergeCell ref="P4:Q4"/>
    <mergeCell ref="F25:U25"/>
    <mergeCell ref="J4:K4"/>
    <mergeCell ref="F4:G4"/>
    <mergeCell ref="L4:M4"/>
    <mergeCell ref="F28:U28"/>
    <mergeCell ref="F3:I3"/>
    <mergeCell ref="J3:M3"/>
    <mergeCell ref="F27:U27"/>
    <mergeCell ref="N3:Q3"/>
    <mergeCell ref="F26:U26"/>
    <mergeCell ref="H4:I4"/>
    <mergeCell ref="F30:U30"/>
    <mergeCell ref="F29:U29"/>
    <mergeCell ref="N4:O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E24" sqref="E24"/>
    </sheetView>
  </sheetViews>
  <sheetFormatPr baseColWidth="8" defaultColWidth="11.42578125" defaultRowHeight="14.45"/>
  <cols>
    <col width="15.42578125" bestFit="1" customWidth="1" min="3" max="3"/>
    <col width="20.85546875" customWidth="1" min="4" max="4"/>
  </cols>
  <sheetData>
    <row r="2">
      <c r="B2" s="529" t="inlineStr">
        <is>
          <t>BU</t>
        </is>
      </c>
    </row>
    <row r="3">
      <c r="B3" s="529" t="inlineStr">
        <is>
          <t>Role</t>
        </is>
      </c>
      <c r="C3" s="529" t="inlineStr">
        <is>
          <t>Percent on Dev</t>
        </is>
      </c>
      <c r="D3" s="529" t="inlineStr">
        <is>
          <t>Remark</t>
        </is>
      </c>
      <c r="F3" s="529" t="n"/>
    </row>
    <row r="4">
      <c r="B4" s="529" t="inlineStr">
        <is>
          <t>PM</t>
        </is>
      </c>
      <c r="C4" t="n">
        <v>0.1</v>
      </c>
      <c r="D4" s="529" t="inlineStr">
        <is>
          <t>in total (dev + ba + qc)</t>
        </is>
      </c>
    </row>
    <row r="5">
      <c r="B5" s="529" t="inlineStr">
        <is>
          <t>BA</t>
        </is>
      </c>
      <c r="C5" t="n">
        <v>0.1</v>
      </c>
    </row>
    <row r="6">
      <c r="B6" s="529" t="inlineStr">
        <is>
          <t>Developer</t>
        </is>
      </c>
    </row>
    <row r="7">
      <c r="B7" s="529" t="inlineStr">
        <is>
          <t>QC</t>
        </is>
      </c>
      <c r="C7" t="n">
        <v>0.3</v>
      </c>
    </row>
    <row r="9">
      <c r="B9" s="529" t="inlineStr">
        <is>
          <t>OB</t>
        </is>
      </c>
    </row>
    <row r="10">
      <c r="B10" s="349" t="inlineStr">
        <is>
          <t>Role</t>
        </is>
      </c>
      <c r="C10" s="529" t="inlineStr">
        <is>
          <t>Rate</t>
        </is>
      </c>
    </row>
    <row r="11">
      <c r="B11" s="532" t="inlineStr">
        <is>
          <t>PM</t>
        </is>
      </c>
      <c r="C11" t="n">
        <v>200</v>
      </c>
    </row>
    <row r="12">
      <c r="B12" s="533" t="inlineStr">
        <is>
          <t>BA</t>
        </is>
      </c>
      <c r="C12" t="n">
        <v>130</v>
      </c>
    </row>
    <row r="13">
      <c r="B13" s="532" t="inlineStr">
        <is>
          <t>Developer</t>
        </is>
      </c>
      <c r="C13" t="n">
        <v>150</v>
      </c>
    </row>
    <row r="14">
      <c r="B14" s="533" t="inlineStr">
        <is>
          <t>QC</t>
        </is>
      </c>
      <c r="C14" t="n">
        <v>110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Thai Phan</dc:creator>
  <dcterms:created xmlns:dcterms="http://purl.org/dc/terms/" xmlns:xsi="http://www.w3.org/2001/XMLSchema-instance" xsi:type="dcterms:W3CDTF">2022-09-07T10:34:03Z</dcterms:created>
  <dcterms:modified xmlns:dcterms="http://purl.org/dc/terms/" xmlns:xsi="http://www.w3.org/2001/XMLSchema-instance" xsi:type="dcterms:W3CDTF">2026-07-20T11:24:59Z</dcterms:modified>
  <cp:lastModifiedBy>Henry Mai (BnK.SVP)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0x010100C56E87C8A5B1C94FB222DC614D532D18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